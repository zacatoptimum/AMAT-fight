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bb5c741757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c547bf0025184ff6"/>
    <x:sheet xmlns:r="http://schemas.openxmlformats.org/officeDocument/2006/relationships" name="Minutes" sheetId="2" r:id="Rad16c4bc155e4c13"/>
    <x:sheet xmlns:r="http://schemas.openxmlformats.org/officeDocument/2006/relationships" name="Actions" sheetId="3" r:id="R5d082131af614fa9"/>
    <x:sheet xmlns:r="http://schemas.openxmlformats.org/officeDocument/2006/relationships" name="Risks" sheetId="4" r:id="R8e67a83746d5449c"/>
    <x:sheet xmlns:r="http://schemas.openxmlformats.org/officeDocument/2006/relationships" name="Issues" sheetId="5" r:id="Rdd24191f903a499d"/>
    <x:sheet xmlns:r="http://schemas.openxmlformats.org/officeDocument/2006/relationships" name="Decisions" sheetId="6" r:id="R6e4c7d2993dd4ee3"/>
    <x:sheet xmlns:r="http://schemas.openxmlformats.org/officeDocument/2006/relationships" name="Assumptions" sheetId="7" r:id="R05f8bfdfca104c48"/>
    <x:sheet xmlns:r="http://schemas.openxmlformats.org/officeDocument/2006/relationships" name="Changes" sheetId="8" r:id="Rec9ae35a54194b61"/>
    <x:sheet xmlns:r="http://schemas.openxmlformats.org/officeDocument/2006/relationships" name="Sources" sheetId="9" r:id="R44bc76a3b4514a25"/>
    <x:sheet xmlns:r="http://schemas.openxmlformats.org/officeDocument/2006/relationships" name="Stakeholders" sheetId="10" r:id="R64e916e1b9d04ebc"/>
    <x:sheet xmlns:r="http://schemas.openxmlformats.org/officeDocument/2006/relationships" name="Client Questions" sheetId="11" r:id="R349e3e44556a4cae"/>
    <x:sheet xmlns:r="http://schemas.openxmlformats.org/officeDocument/2006/relationships" name="Deliverables" sheetId="12" r:id="Re538c372df884ae6"/>
    <x:sheet xmlns:r="http://schemas.openxmlformats.org/officeDocument/2006/relationships" name="Schedule" sheetId="13" r:id="R63eedc0c7dc8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4"/>
      <x:color rgb="FF000000"/>
      <x:name val="Arial"/>
    </x:font>
    <x:font>
      <x:b/>
      <x:sz val="10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7"/>
      </x:patternFill>
    </x:fill>
    <x:fill>
      <x:patternFill patternType="solid">
        <x:fgColor rgb="FF17365D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200" fontId="5" fillId="0" borderId="3" xfId="0" applyNumberFormat="1" applyFont="1" applyFill="1" applyBorder="1" applyAlignment="1">
      <x:alignment vertical="center" wrapText="1"/>
    </x:xf>
    <x:xf numFmtId="200" fontId="5" fillId="4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95d748d6c44b0" /><Relationship Type="http://schemas.openxmlformats.org/officeDocument/2006/relationships/theme" Target="/xl/theme/theme1.xml" Id="R697aa5bcc24e469c" /><Relationship Type="http://schemas.openxmlformats.org/officeDocument/2006/relationships/sharedStrings" Target="/xl/sharedStrings.xml" Id="Rf0fadb8cd409463e" /><Relationship Type="http://schemas.openxmlformats.org/officeDocument/2006/relationships/worksheet" Target="/xl/worksheets/sheet1.xml" Id="Rc547bf0025184ff6" /><Relationship Type="http://schemas.openxmlformats.org/officeDocument/2006/relationships/worksheet" Target="/xl/worksheets/sheet2.xml" Id="Rad16c4bc155e4c13" /><Relationship Type="http://schemas.openxmlformats.org/officeDocument/2006/relationships/worksheet" Target="/xl/worksheets/sheet3.xml" Id="R5d082131af614fa9" /><Relationship Type="http://schemas.openxmlformats.org/officeDocument/2006/relationships/worksheet" Target="/xl/worksheets/sheet4.xml" Id="R8e67a83746d5449c" /><Relationship Type="http://schemas.openxmlformats.org/officeDocument/2006/relationships/worksheet" Target="/xl/worksheets/sheet5.xml" Id="Rdd24191f903a499d" /><Relationship Type="http://schemas.openxmlformats.org/officeDocument/2006/relationships/worksheet" Target="/xl/worksheets/sheet6.xml" Id="R6e4c7d2993dd4ee3" /><Relationship Type="http://schemas.openxmlformats.org/officeDocument/2006/relationships/worksheet" Target="/xl/worksheets/sheet7.xml" Id="R05f8bfdfca104c48" /><Relationship Type="http://schemas.openxmlformats.org/officeDocument/2006/relationships/worksheet" Target="/xl/worksheets/sheet8.xml" Id="Rec9ae35a54194b61" /><Relationship Type="http://schemas.openxmlformats.org/officeDocument/2006/relationships/worksheet" Target="/xl/worksheets/sheet9.xml" Id="R44bc76a3b4514a25" /><Relationship Type="http://schemas.openxmlformats.org/officeDocument/2006/relationships/worksheet" Target="/xl/worksheets/sheet10.xml" Id="R64e916e1b9d04ebc" /><Relationship Type="http://schemas.openxmlformats.org/officeDocument/2006/relationships/worksheet" Target="/xl/worksheets/sheet11.xml" Id="R349e3e44556a4cae" /><Relationship Type="http://schemas.openxmlformats.org/officeDocument/2006/relationships/worksheet" Target="/xl/worksheets/sheet12.xml" Id="Re538c372df884ae6" /><Relationship Type="http://schemas.openxmlformats.org/officeDocument/2006/relationships/worksheet" Target="/xl/worksheets/sheet13.xml" Id="R63eedc0c7dc8453d" /></Relationships>
</file>

<file path=xl/tables/table1.xml><?xml version="1.0" encoding="utf-8"?>
<x:table xmlns:x="http://schemas.openxmlformats.org/spreadsheetml/2006/main" id="1" name="StatusGateTable" displayName="StatusGateTable" ref="A11:F15" headerRowCount="1" totalsRowCount="0" totalsRowShown="0">
  <x:autoFilter ref="A11:F15"/>
  <x:tableColumns count="6">
    <x:tableColumn id="1" name="Decision / gate"/>
    <x:tableColumn id="2" name="Evidence required"/>
    <x:tableColumn id="3" name="Owner"/>
    <x:tableColumn id="4" name="Needed by"/>
    <x:tableColumn id="5" name="Status"/>
    <x:tableColumn id="6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usRiskTable" displayName="StatusRiskTable" ref="A18:G21" headerRowCount="1" totalsRowCount="0" totalsRowShown="0">
  <x:autoFilter ref="A18:G21"/>
  <x:tableColumns count="7">
    <x:tableColumn id="1" name="ID"/>
    <x:tableColumn id="2" name="Top risk / issue"/>
    <x:tableColumn id="3" name="Impact"/>
    <x:tableColumn id="4" name="Response / containment"/>
    <x:tableColumn id="5" name="Owner"/>
    <x:tableColumn id="6" name="Next check"/>
    <x:tableColumn id="7" name="R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nutesTable" displayName="MinutesTable" ref="A4:J5" headerRowCount="1" totalsRowCount="0" totalsRowShown="0">
  <x:autoFilter ref="A4:J5"/>
  <x:tableColumns count="10">
    <x:tableColumn id="1" name="Meeting ID"/>
    <x:tableColumn id="2" name="Date"/>
    <x:tableColumn id="3" name="Title"/>
    <x:tableColumn id="4" name="Participants / roles"/>
    <x:tableColumn id="5" name="Objective"/>
    <x:tableColumn id="6" name="Conclusion"/>
    <x:tableColumn id="7" name="Decision IDs"/>
    <x:tableColumn id="8" name="Action IDs"/>
    <x:tableColumn id="9" name="Note owner"/>
    <x:tableColumn id="10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tionsTable" displayName="ActionsTable" ref="A4:I7" headerRowCount="1" totalsRowCount="0" totalsRowShown="0">
  <x:autoFilter ref="A4:I7"/>
  <x:tableColumns count="9">
    <x:tableColumn id="1" name="Action ID"/>
    <x:tableColumn id="2" name="Action"/>
    <x:tableColumn id="3" name="Workstream"/>
    <x:tableColumn id="4" name="Owner"/>
    <x:tableColumn id="5" name="Due date"/>
    <x:tableColumn id="6" name="Status"/>
    <x:tableColumn id="7" name="Dependency"/>
    <x:tableColumn id="8" name="Evidence"/>
    <x:tableColumn id="9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sTable" displayName="RisksTable" ref="A4:J7" headerRowCount="1" totalsRowCount="0" totalsRowShown="0">
  <x:autoFilter ref="A4:J7"/>
  <x:tableColumns count="10">
    <x:tableColumn id="1" name="Risk ID"/>
    <x:tableColumn id="2" name="Cause"/>
    <x:tableColumn id="3" name="Risk event"/>
    <x:tableColumn id="4" name="Impact"/>
    <x:tableColumn id="5" name="Likelihood"/>
    <x:tableColumn id="6" name="Impact level"/>
    <x:tableColumn id="7" name="Rating"/>
    <x:tableColumn id="8" name="Response"/>
    <x:tableColumn id="9" name="Owner"/>
    <x:tableColumn id="10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ssuesTable" displayName="IssuesTable" ref="A4:H5" headerRowCount="1" totalsRowCount="0" totalsRowShown="0">
  <x:autoFilter ref="A4:H5"/>
  <x:tableColumns count="8">
    <x:tableColumn id="1" name="Issue ID"/>
    <x:tableColumn id="2" name="Fact pattern"/>
    <x:tableColumn id="3" name="Impact"/>
    <x:tableColumn id="4" name="Containment"/>
    <x:tableColumn id="5" name="Resolution plan"/>
    <x:tableColumn id="6" name="Owner"/>
    <x:tableColumn id="7" name="Target date"/>
    <x:tableColumn id="8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cisionsTable" displayName="DecisionsTable" ref="A4:I5" headerRowCount="1" totalsRowCount="0" totalsRowShown="0">
  <x:autoFilter ref="A4:I5"/>
  <x:tableColumns count="9">
    <x:tableColumn id="1" name="Decision ID"/>
    <x:tableColumn id="2" name="Date"/>
    <x:tableColumn id="3" name="Decision"/>
    <x:tableColumn id="4" name="Decision maker"/>
    <x:tableColumn id="5" name="Options considered"/>
    <x:tableColumn id="6" name="Rationale"/>
    <x:tableColumn id="7" name="Conditions"/>
    <x:tableColumn id="8" name="Affected artifacts"/>
    <x:tableColumn id="9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ssumptionsTable" displayName="AssumptionsTable" ref="A4:I6" headerRowCount="1" totalsRowCount="0" totalsRowShown="0">
  <x:autoFilter ref="A4:I6"/>
  <x:tableColumns count="9">
    <x:tableColumn id="1" name="Assumption ID"/>
    <x:tableColumn id="2" name="Statement"/>
    <x:tableColumn id="3" name="Basis"/>
    <x:tableColumn id="4" name="Affected output"/>
    <x:tableColumn id="5" name="Impact if wrong"/>
    <x:tableColumn id="6" name="Validation method"/>
    <x:tableColumn id="7" name="Owner"/>
    <x:tableColumn id="8" name="Review date"/>
    <x:tableColumn id="9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hangesTable" displayName="ChangesTable" ref="A4:I5" headerRowCount="1" totalsRowCount="0" totalsRowShown="0">
  <x:autoFilter ref="A4:I5"/>
  <x:tableColumns count="9">
    <x:tableColumn id="1" name="Change ID"/>
    <x:tableColumn id="2" name="Date raised"/>
    <x:tableColumn id="3" name="Request"/>
    <x:tableColumn id="4" name="Requester"/>
    <x:tableColumn id="5" name="Scope / time / quality impact"/>
    <x:tableColumn id="6" name="Recommendation"/>
    <x:tableColumn id="7" name="Decision"/>
    <x:tableColumn id="8" name="Decision date"/>
    <x:tableColumn id="9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Table" displayName="SourcesTable" ref="A4:K5" headerRowCount="1" totalsRowCount="0" totalsRowShown="0">
  <x:autoFilter ref="A4:K5"/>
  <x:tableColumns count="11">
    <x:tableColumn id="1" name="Source ID"/>
    <x:tableColumn id="2" name="Type"/>
    <x:tableColumn id="3" name="Title / description"/>
    <x:tableColumn id="4" name="Publisher / owner"/>
    <x:tableColumn id="5" name="Publication date"/>
    <x:tableColumn id="6" name="Location / URL"/>
    <x:tableColumn id="7" name="Access date"/>
    <x:tableColumn id="8" name="Reliability"/>
    <x:tableColumn id="9" name="Scope / limitations"/>
    <x:tableColumn id="10" name="Used in"/>
    <x:tableColumn id="11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akeholdersTable" displayName="StakeholdersTable" ref="A4:J10" headerRowCount="1" totalsRowCount="0" totalsRowShown="0">
  <x:autoFilter ref="A4:J10"/>
  <x:tableColumns count="10">
    <x:tableColumn id="1" name="Stakeholder ID"/>
    <x:tableColumn id="2" name="Role hypothesis"/>
    <x:tableColumn id="3" name="Function"/>
    <x:tableColumn id="4" name="Influence"/>
    <x:tableColumn id="5" name="Interest"/>
    <x:tableColumn id="6" name="Decision role"/>
    <x:tableColumn id="7" name="Information need"/>
    <x:tableColumn id="8" name="Engagement plan"/>
    <x:tableColumn id="9" name="Status label"/>
    <x:tableColumn id="10" name="Validation 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lientQuestionsTable" displayName="ClientQuestionsTable" ref="A4:H9" headerRowCount="1" totalsRowCount="0" totalsRowShown="0">
  <x:autoFilter ref="A4:H9"/>
  <x:tableColumns count="8">
    <x:tableColumn id="1" name="Question ID"/>
    <x:tableColumn id="2" name="Question"/>
    <x:tableColumn id="3" name="Why needed"/>
    <x:tableColumn id="4" name="Answer owner"/>
    <x:tableColumn id="5" name="Needed by"/>
    <x:tableColumn id="6" name="Status"/>
    <x:tableColumn id="7" name="Answer / evidence"/>
    <x:tableColumn id="8" name="Affected workstream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eliverablesTable" displayName="DeliverablesTable" ref="A4:K25" headerRowCount="1" totalsRowCount="0" totalsRowShown="0">
  <x:autoFilter ref="A4:K25"/>
  <x:tableColumns count="11">
    <x:tableColumn id="1" name="Deliverable ID"/>
    <x:tableColumn id="2" name="Workstream"/>
    <x:tableColumn id="3" name="Artifact / package"/>
    <x:tableColumn id="4" name="Audience"/>
    <x:tableColumn id="5" name="Owner"/>
    <x:tableColumn id="6" name="Reviewer"/>
    <x:tableColumn id="7" name="Due date"/>
    <x:tableColumn id="8" name="Version"/>
    <x:tableColumn id="9" name="Status"/>
    <x:tableColumn id="10" name="Acceptance basis"/>
    <x:tableColumn id="11" name="Locati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cheduleTable" displayName="ScheduleTable" ref="A4:J16" headerRowCount="1" totalsRowCount="0" totalsRowShown="0">
  <x:autoFilter ref="A4:J16"/>
  <x:tableColumns count="10">
    <x:tableColumn id="1" name="Milestone ID"/>
    <x:tableColumn id="2" name="Workstream"/>
    <x:tableColumn id="3" name="Milestone"/>
    <x:tableColumn id="4" name="Owner"/>
    <x:tableColumn id="5" name="Start"/>
    <x:tableColumn id="6" name="Finish"/>
    <x:tableColumn id="7" name="Predecessor"/>
    <x:tableColumn id="8" name="Gate"/>
    <x:tableColumn id="9" name="Exit evidence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32228da80e47f3" /><Relationship Type="http://schemas.openxmlformats.org/officeDocument/2006/relationships/table" Target="/xl/tables/table2.xml" Id="R32bb4dbc215f40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357f57b3fce4d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345a76c51a72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ef888530a9a40a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56a80bc6f024c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e23fe70e2e547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09eb554ce81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f1b9db011dd4b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27e7550e7a88405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8d4a44e2de8146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5c31d49419e34a7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3164d95b450346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be6ebc479c82408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8" topLeftCell="A19" activePane="bottomLeft" state="frozen"/>
    </x:sheetView>
  </x:sheetViews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38" hidden="0" customWidth="1"/>
    <x:col min="5" max="5" width="18" hidden="0" customWidth="1"/>
    <x:col min="6" max="6" width="14" hidden="0" customWidth="1"/>
    <x:col min="7" max="7" width="10" hidden="0" customWidth="1"/>
  </x:cols>
  <x:sheetData>
    <x:row r="1" ht="15" hidden="0" customHeight="1">
      <x:c r="A1" s="24"/>
      <x:c r="B1" s="24"/>
      <x:c r="C1" s="24"/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15" hidden="0" customHeight="1">
      <x:c r="A2" s="23" t="str">
        <x:v>AMAT project status and decisions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  <x:c r="X2" s="24"/>
      <x:c r="Y2" s="24"/>
      <x:c r="Z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  <x:c r="V3" s="24"/>
      <x:c r="W3" s="24"/>
      <x:c r="X3" s="24"/>
      <x:c r="Y3" s="24"/>
      <x:c r="Z3" s="24"/>
    </x:row>
    <x:row r="4" ht="15" hidden="0" customHeight="1">
      <x:c r="A4" s="26" t="str">
        <x:v>Status as of</x:v>
      </x:c>
      <x:c r="B4" s="27" t="n">
        <x:v>46292</x:v>
      </x:c>
      <x:c r="C4" s="24"/>
      <x:c r="D4" s="24"/>
      <x:c r="E4" s="24"/>
      <x:c r="F4" s="24"/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4"/>
      <x:c r="Z4" s="24"/>
    </x:row>
    <x:row r="5" ht="15" hidden="0" customHeight="1">
      <x:c r="A5" s="26" t="str">
        <x:v>Overall status</x:v>
      </x:c>
      <x:c r="B5" s="24" t="str">
        <x:v>Gray</x:v>
      </x:c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4"/>
      <x:c r="T5" s="24"/>
      <x:c r="U5" s="24"/>
      <x:c r="V5" s="24"/>
      <x:c r="W5" s="24"/>
      <x:c r="X5" s="24"/>
      <x:c r="Y5" s="24"/>
      <x:c r="Z5" s="24"/>
    </x:row>
    <x:row r="6" ht="15" hidden="0" customHeight="1">
      <x:c r="A6" s="26" t="str">
        <x:v>Open actions</x:v>
      </x:c>
      <x:c r="B6" s="24" t="n">
        <x:f>COUNTIFS(Actions!$F$5:$F$204,"&lt;&gt;Complete",Actions!$A$5:$A$204,"&lt;&gt;")</x:f>
        <x:v>3</x:v>
      </x:c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4"/>
      <x:c r="O6" s="24"/>
      <x:c r="P6" s="24"/>
      <x:c r="Q6" s="24"/>
      <x:c r="R6" s="24"/>
      <x:c r="S6" s="24"/>
      <x:c r="T6" s="24"/>
      <x:c r="U6" s="24"/>
      <x:c r="V6" s="24"/>
      <x:c r="W6" s="24"/>
      <x:c r="X6" s="24"/>
      <x:c r="Y6" s="24"/>
      <x:c r="Z6" s="24"/>
    </x:row>
    <x:row r="7" ht="15" hidden="0" customHeight="1">
      <x:c r="A7" s="26" t="str">
        <x:v>Open risks</x:v>
      </x:c>
      <x:c r="B7" s="24" t="n">
        <x:f>COUNTIFS(Risks!$J$5:$J$204,"&lt;&gt;Closed",Risks!$A$5:$A$204,"&lt;&gt;")</x:f>
        <x:v>3</x:v>
      </x:c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4"/>
      <x:c r="O7" s="24"/>
      <x:c r="P7" s="24"/>
      <x:c r="Q7" s="24"/>
      <x:c r="R7" s="24"/>
      <x:c r="S7" s="24"/>
      <x:c r="T7" s="24"/>
      <x:c r="U7" s="24"/>
      <x:c r="V7" s="24"/>
      <x:c r="W7" s="24"/>
      <x:c r="X7" s="24"/>
      <x:c r="Y7" s="24"/>
      <x:c r="Z7" s="24"/>
    </x:row>
    <x:row r="8" ht="15" hidden="0" customHeight="1">
      <x:c r="A8" s="26" t="str">
        <x:v>Open issues</x:v>
      </x:c>
      <x:c r="B8" s="24" t="n">
        <x:f>COUNTIFS(Issues!$H$5:$H$204,"&lt;&gt;Closed",Issues!$A$5:$A$204,"&lt;&gt;")</x:f>
        <x:v>1</x:v>
      </x:c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4"/>
      <x:c r="O8" s="24"/>
      <x:c r="P8" s="24"/>
      <x:c r="Q8" s="24"/>
      <x:c r="R8" s="24"/>
      <x:c r="S8" s="24"/>
      <x:c r="T8" s="24"/>
      <x:c r="U8" s="24"/>
      <x:c r="V8" s="24"/>
      <x:c r="W8" s="24"/>
      <x:c r="X8" s="24"/>
      <x:c r="Y8" s="24"/>
      <x:c r="Z8" s="24"/>
    </x:row>
    <x:row r="9" ht="15" hidden="0" customHeight="1">
      <x:c r="A9" s="26" t="str">
        <x:v>Deliverables QA Pass</x:v>
      </x:c>
      <x:c r="B9" s="24" t="n">
        <x:f>COUNTIFS(Deliverables!$I$5:$I$204,"QA Pass")</x:f>
        <x:v>1</x:v>
      </x:c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4"/>
      <x:c r="O9" s="24"/>
      <x:c r="P9" s="24"/>
      <x:c r="Q9" s="24"/>
      <x:c r="R9" s="24"/>
      <x:c r="S9" s="24"/>
      <x:c r="T9" s="24"/>
      <x:c r="U9" s="24"/>
      <x:c r="V9" s="24"/>
      <x:c r="W9" s="24"/>
      <x:c r="X9" s="24"/>
      <x:c r="Y9" s="24"/>
      <x:c r="Z9" s="24"/>
    </x:row>
    <x:row r="10" ht="15" hidden="0" customHeight="1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  <x:c r="R10" s="24"/>
      <x:c r="S10" s="24"/>
      <x:c r="T10" s="24"/>
      <x:c r="U10" s="24"/>
      <x:c r="V10" s="24"/>
      <x:c r="W10" s="24"/>
      <x:c r="X10" s="24"/>
      <x:c r="Y10" s="24"/>
      <x:c r="Z10" s="24"/>
    </x:row>
    <x:row r="11" ht="15" hidden="0" customHeight="1">
      <x:c r="A11" s="15" t="str">
        <x:v>Decision / gate</x:v>
      </x:c>
      <x:c r="B11" s="15" t="str">
        <x:v>Evidence required</x:v>
      </x:c>
      <x:c r="C11" s="15" t="str">
        <x:v>Owner</x:v>
      </x:c>
      <x:c r="D11" s="15" t="str">
        <x:v>Needed by</x:v>
      </x:c>
      <x:c r="E11" s="15" t="str">
        <x:v>Status</x:v>
      </x:c>
      <x:c r="F11" s="15" t="str">
        <x:v>Next action</x:v>
      </x:c>
      <x:c r="G11" s="24"/>
      <x:c r="H11" s="24"/>
      <x:c r="I11" s="24"/>
      <x:c r="J11" s="24"/>
      <x:c r="K11" s="24"/>
      <x:c r="L11" s="24"/>
      <x:c r="M11" s="24"/>
      <x:c r="N11" s="24"/>
      <x:c r="O11" s="24"/>
      <x:c r="P11" s="24"/>
      <x:c r="Q11" s="24"/>
      <x:c r="R11" s="24"/>
      <x:c r="S11" s="24"/>
      <x:c r="T11" s="24"/>
      <x:c r="U11" s="24"/>
      <x:c r="V11" s="24"/>
      <x:c r="W11" s="24"/>
      <x:c r="X11" s="24"/>
      <x:c r="Y11" s="24"/>
      <x:c r="Z11" s="24"/>
    </x:row>
    <x:row r="12" ht="36" hidden="0" customHeight="1">
      <x:c r="A12" s="19" t="str">
        <x:v>G0 Kickoff alignment</x:v>
      </x:c>
      <x:c r="B12" s="19" t="str">
        <x:v>Charter, RACI, ways of working, first data request</x:v>
      </x:c>
      <x:c r="C12" s="19" t="str">
        <x:v>TBD WITH CLIENT</x:v>
      </x:c>
      <x:c r="D12" s="19"/>
      <x:c r="E12" s="19" t="str">
        <x:v>Not Started</x:v>
      </x:c>
      <x:c r="F12" s="19" t="str">
        <x:v>Validate sponsor, decision rights and scope</x:v>
      </x:c>
      <x:c r="G12" s="24"/>
      <x:c r="H12" s="24"/>
      <x:c r="I12" s="24"/>
      <x:c r="J12" s="24"/>
      <x:c r="K12" s="24"/>
      <x:c r="L12" s="24"/>
      <x:c r="M12" s="24"/>
      <x:c r="N12" s="24"/>
      <x:c r="O12" s="24"/>
      <x:c r="P12" s="24"/>
      <x:c r="Q12" s="24"/>
      <x:c r="R12" s="24"/>
      <x:c r="S12" s="24"/>
      <x:c r="T12" s="24"/>
      <x:c r="U12" s="24"/>
      <x:c r="V12" s="24"/>
      <x:c r="W12" s="24"/>
      <x:c r="X12" s="24"/>
      <x:c r="Y12" s="24"/>
      <x:c r="Z12" s="24"/>
    </x:row>
    <x:row r="13" ht="36" hidden="0" customHeight="1">
      <x:c r="A13" s="20" t="str">
        <x:v>G1 Data readiness</x:v>
      </x:c>
      <x:c r="B13" s="20" t="str">
        <x:v>Data tracker, dictionary, quality review and approved assumptions</x:v>
      </x:c>
      <x:c r="C13" s="20" t="str">
        <x:v>TBD WITH CLIENT</x:v>
      </x:c>
      <x:c r="D13" s="20"/>
      <x:c r="E13" s="20" t="str">
        <x:v>Not Started</x:v>
      </x:c>
      <x:c r="F13" s="20" t="str">
        <x:v>Assign data owners and transfer route</x:v>
      </x:c>
      <x:c r="G13" s="24"/>
      <x:c r="H13" s="24"/>
      <x:c r="I13" s="24"/>
      <x:c r="J13" s="24"/>
      <x:c r="K13" s="24"/>
      <x:c r="L13" s="24"/>
      <x:c r="M13" s="24"/>
      <x:c r="N13" s="24"/>
      <x:c r="O13" s="24"/>
      <x:c r="P13" s="24"/>
      <x:c r="Q13" s="24"/>
      <x:c r="R13" s="24"/>
      <x:c r="S13" s="24"/>
      <x:c r="T13" s="24"/>
      <x:c r="U13" s="24"/>
      <x:c r="V13" s="24"/>
      <x:c r="W13" s="24"/>
      <x:c r="X13" s="24"/>
      <x:c r="Y13" s="24"/>
      <x:c r="Z13" s="24"/>
    </x:row>
    <x:row r="14" ht="36" hidden="0" customHeight="1">
      <x:c r="A14" s="19" t="str">
        <x:v>G2 Shared market understanding</x:v>
      </x:c>
      <x:c r="B14" s="19" t="str">
        <x:v>Workshop decisions, questions and actions</x:v>
      </x:c>
      <x:c r="C14" s="19" t="str">
        <x:v>TBD WITH CLIENT</x:v>
      </x:c>
      <x:c r="D14" s="19"/>
      <x:c r="E14" s="19" t="str">
        <x:v>Not Started</x:v>
      </x:c>
      <x:c r="F14" s="19" t="str">
        <x:v>Confirm audience and learning objectives</x:v>
      </x:c>
      <x:c r="G14" s="24"/>
      <x:c r="H14" s="24"/>
      <x:c r="I14" s="24"/>
      <x:c r="J14" s="24"/>
      <x:c r="K14" s="24"/>
      <x:c r="L14" s="24"/>
      <x:c r="M14" s="24"/>
      <x:c r="N14" s="24"/>
      <x:c r="O14" s="24"/>
      <x:c r="P14" s="24"/>
      <x:c r="Q14" s="24"/>
      <x:c r="R14" s="24"/>
      <x:c r="S14" s="24"/>
      <x:c r="T14" s="24"/>
      <x:c r="U14" s="24"/>
      <x:c r="V14" s="24"/>
      <x:c r="W14" s="24"/>
      <x:c r="X14" s="24"/>
      <x:c r="Y14" s="24"/>
      <x:c r="Z14" s="24"/>
    </x:row>
    <x:row r="15" ht="36" hidden="0" customHeight="1">
      <x:c r="A15" s="20" t="str">
        <x:v>G3 Baseline accepted</x:v>
      </x:c>
      <x:c r="B15" s="20" t="str">
        <x:v>Gap model, quality flags and management summary</x:v>
      </x:c>
      <x:c r="C15" s="20" t="str">
        <x:v>TBD WITH CLIENT</x:v>
      </x:c>
      <x:c r="D15" s="20"/>
      <x:c r="E15" s="20" t="str">
        <x:v>Not Started</x:v>
      </x:c>
      <x:c r="F15" s="20" t="str">
        <x:v>Confirm reporting boundary and target definition</x:v>
      </x:c>
      <x:c r="G15" s="24"/>
      <x:c r="H15" s="24"/>
      <x:c r="I15" s="24"/>
      <x:c r="J15" s="24"/>
      <x:c r="K15" s="24"/>
      <x:c r="L15" s="24"/>
      <x:c r="M15" s="24"/>
      <x:c r="N15" s="24"/>
      <x:c r="O15" s="24"/>
      <x:c r="P15" s="24"/>
      <x:c r="Q15" s="24"/>
      <x:c r="R15" s="24"/>
      <x:c r="S15" s="24"/>
      <x:c r="T15" s="24"/>
      <x:c r="U15" s="24"/>
      <x:c r="V15" s="24"/>
      <x:c r="W15" s="24"/>
      <x:c r="X15" s="24"/>
      <x:c r="Y15" s="24"/>
      <x:c r="Z15" s="24"/>
    </x:row>
    <x:row r="16" ht="15" hidden="0" customHeight="1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24"/>
      <x:c r="P16" s="24"/>
      <x:c r="Q16" s="24"/>
      <x:c r="R16" s="24"/>
      <x:c r="S16" s="24"/>
      <x:c r="T16" s="24"/>
      <x:c r="U16" s="24"/>
      <x:c r="V16" s="24"/>
      <x:c r="W16" s="24"/>
      <x:c r="X16" s="24"/>
      <x:c r="Y16" s="24"/>
      <x:c r="Z16" s="24"/>
    </x:row>
    <x:row r="17" ht="15" hidden="0" customHeight="1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24"/>
      <x:c r="P17" s="24"/>
      <x:c r="Q17" s="24"/>
      <x:c r="R17" s="24"/>
      <x:c r="S17" s="24"/>
      <x:c r="T17" s="24"/>
      <x:c r="U17" s="24"/>
      <x:c r="V17" s="24"/>
      <x:c r="W17" s="24"/>
      <x:c r="X17" s="24"/>
      <x:c r="Y17" s="24"/>
      <x:c r="Z17" s="24"/>
    </x:row>
    <x:row r="18" ht="15" hidden="0" customHeight="1">
      <x:c r="A18" s="15" t="str">
        <x:v>ID</x:v>
      </x:c>
      <x:c r="B18" s="15" t="str">
        <x:v>Top risk / issue</x:v>
      </x:c>
      <x:c r="C18" s="15" t="str">
        <x:v>Impact</x:v>
      </x:c>
      <x:c r="D18" s="15" t="str">
        <x:v>Response / containment</x:v>
      </x:c>
      <x:c r="E18" s="15" t="str">
        <x:v>Owner</x:v>
      </x:c>
      <x:c r="F18" s="15" t="str">
        <x:v>Next check</x:v>
      </x:c>
      <x:c r="G18" s="15" t="str">
        <x:v>RAG</x:v>
      </x:c>
      <x:c r="H18" s="24"/>
      <x:c r="I18" s="24"/>
      <x:c r="J18" s="24"/>
      <x:c r="K18" s="24"/>
      <x:c r="L18" s="24"/>
      <x:c r="M18" s="24"/>
      <x:c r="N18" s="24"/>
      <x:c r="O18" s="24"/>
      <x:c r="P18" s="24"/>
      <x:c r="Q18" s="24"/>
      <x:c r="R18" s="24"/>
      <x:c r="S18" s="24"/>
      <x:c r="T18" s="24"/>
      <x:c r="U18" s="24"/>
      <x:c r="V18" s="24"/>
      <x:c r="W18" s="24"/>
      <x:c r="X18" s="24"/>
      <x:c r="Y18" s="24"/>
      <x:c r="Z18" s="24"/>
    </x:row>
    <x:row r="19" ht="36" hidden="0" customHeight="1">
      <x:c r="A19" s="19" t="str">
        <x:v>R-001</x:v>
      </x:c>
      <x:c r="B19" s="19" t="str">
        <x:v>Decision rights may remain unclear after kickoff</x:v>
      </x:c>
      <x:c r="C19" s="19" t="str">
        <x:v>Approval delay and rework</x:v>
      </x:c>
      <x:c r="D19" s="19" t="str">
        <x:v>Validate sponsor, decision body and gate owners in 1.1</x:v>
      </x:c>
      <x:c r="E19" s="19" t="str">
        <x:v>Project Lead</x:v>
      </x:c>
      <x:c r="F19" s="19"/>
      <x:c r="G19" s="19" t="str">
        <x:v>Amber</x:v>
      </x:c>
      <x:c r="H19" s="24"/>
      <x:c r="I19" s="24"/>
      <x:c r="J19" s="24"/>
      <x:c r="K19" s="24"/>
      <x:c r="L19" s="24"/>
      <x:c r="M19" s="24"/>
      <x:c r="N19" s="24"/>
      <x:c r="O19" s="24"/>
      <x:c r="P19" s="24"/>
      <x:c r="Q19" s="24"/>
      <x:c r="R19" s="24"/>
      <x:c r="S19" s="24"/>
      <x:c r="T19" s="24"/>
      <x:c r="U19" s="24"/>
      <x:c r="V19" s="24"/>
      <x:c r="W19" s="24"/>
      <x:c r="X19" s="24"/>
      <x:c r="Y19" s="24"/>
      <x:c r="Z19" s="24"/>
    </x:row>
    <x:row r="20" ht="36" hidden="0" customHeight="1">
      <x:c r="A20" s="20" t="str">
        <x:v>R-002</x:v>
      </x:c>
      <x:c r="B20" s="20" t="str">
        <x:v>Site and consumption data may not support intended analysis grain</x:v>
      </x:c>
      <x:c r="C20" s="20" t="str">
        <x:v>Gap and scenario precision may be limited</x:v>
      </x:c>
      <x:c r="D20" s="20" t="str">
        <x:v>Profile completeness early and agree assumption policy</x:v>
      </x:c>
      <x:c r="E20" s="20" t="str">
        <x:v>Data Lead</x:v>
      </x:c>
      <x:c r="F20" s="20"/>
      <x:c r="G20" s="20" t="str">
        <x:v>Amber</x:v>
      </x:c>
      <x:c r="H20" s="24"/>
      <x:c r="I20" s="24"/>
      <x:c r="J20" s="24"/>
      <x:c r="K20" s="24"/>
      <x:c r="L20" s="24"/>
      <x:c r="M20" s="24"/>
      <x:c r="N20" s="24"/>
      <x:c r="O20" s="24"/>
      <x:c r="P20" s="24"/>
      <x:c r="Q20" s="24"/>
      <x:c r="R20" s="24"/>
      <x:c r="S20" s="24"/>
      <x:c r="T20" s="24"/>
      <x:c r="U20" s="24"/>
      <x:c r="V20" s="24"/>
      <x:c r="W20" s="24"/>
      <x:c r="X20" s="24"/>
      <x:c r="Y20" s="24"/>
      <x:c r="Z20" s="24"/>
    </x:row>
    <x:row r="21" ht="36" hidden="0" customHeight="1">
      <x:c r="A21" s="19" t="str">
        <x:v>R-003</x:v>
      </x:c>
      <x:c r="B21" s="19" t="str">
        <x:v>Market disclosure authority is not yet defined</x:v>
      </x:c>
      <x:c r="C21" s="19" t="str">
        <x:v>Outreach may expose client information or reduce response quality</x:v>
      </x:c>
      <x:c r="D21" s="19" t="str">
        <x:v>Obtain written disclosure boundary before 2.2</x:v>
      </x:c>
      <x:c r="E21" s="19" t="str">
        <x:v>Project Lead</x:v>
      </x:c>
      <x:c r="F21" s="19"/>
      <x:c r="G21" s="19" t="str">
        <x:v>Amber</x:v>
      </x:c>
      <x:c r="H21" s="24"/>
      <x:c r="I21" s="24"/>
      <x:c r="J21" s="24"/>
      <x:c r="K21" s="24"/>
      <x:c r="L21" s="24"/>
      <x:c r="M21" s="24"/>
      <x:c r="N21" s="24"/>
      <x:c r="O21" s="24"/>
      <x:c r="P21" s="24"/>
      <x:c r="Q21" s="24"/>
      <x:c r="R21" s="24"/>
      <x:c r="S21" s="24"/>
      <x:c r="T21" s="24"/>
      <x:c r="U21" s="24"/>
      <x:c r="V21" s="24"/>
      <x:c r="W21" s="24"/>
      <x:c r="X21" s="24"/>
      <x:c r="Y21" s="24"/>
      <x:c r="Z21" s="24"/>
    </x:row>
  </x:sheetData>
  <x:conditionalFormatting sqref="B5:B5">
    <x:cfRule type="containsText" dxfId="0" priority="1" operator="containsText" text="Green"/>
    <x:cfRule type="containsText" dxfId="1" priority="2" operator="containsText" text="Amber"/>
    <x:cfRule type="containsText" dxfId="2" priority="3" operator="containsText" text="Red"/>
    <x:cfRule type="containsText" dxfId="3" priority="4" operator="containsText" text="Gray"/>
  </x:conditionalFormatting>
  <x:conditionalFormatting sqref="E12:E15">
    <x:cfRule type="containsText" dxfId="4" priority="5" operator="containsText" text="Blocked"/>
    <x:cfRule type="containsText" dxfId="5" priority="6" operator="containsText" text="Amber"/>
    <x:cfRule type="containsText" dxfId="6" priority="7" operator="containsText" text="QA Pass"/>
    <x:cfRule type="containsText" dxfId="7" priority="8" operator="containsText" text="Complete"/>
    <x:cfRule type="containsText" dxfId="8" priority="9" operator="containsText" text="Closed"/>
  </x:conditionalFormatting>
  <x:conditionalFormatting sqref="G19:G21">
    <x:cfRule type="containsText" dxfId="9" priority="10" operator="containsText" text="Green"/>
    <x:cfRule type="containsText" dxfId="10" priority="11" operator="containsText" text="Amber"/>
    <x:cfRule type="containsText" dxfId="11" priority="12" operator="containsText" text="Red"/>
    <x:cfRule type="containsText" dxfId="12" priority="13" operator="containsText" text="Gray"/>
  </x:conditionalFormatting>
  <x:dataValidations count="3">
    <x:dataValidation type="list" sqref="B5">
      <x:formula1>"Green,Amber,Red,Gray"</x:formula1>
    </x:dataValidation>
    <x:dataValidation type="list" sqref="E12:E15">
      <x:formula1>"Not Started,In Progress,Draft Complete,QA Pending,QA Pass,Blocked,Open,Closed,Complete,Deferred"</x:formula1>
    </x:dataValidation>
    <x:dataValidation type="list" sqref="G19:G21">
      <x:formula1>"Green,Amber,Red,Gray"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e32228da80e47f3"/>
    <x:tablePart xmlns:r="http://schemas.openxmlformats.org/officeDocument/2006/relationships" r:id="R32bb4dbc215f40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8" hidden="0" customWidth="1"/>
    <x:col min="4" max="4" width="30" hidden="0" customWidth="1"/>
    <x:col min="5" max="5" width="34" hidden="0" customWidth="1"/>
    <x:col min="6" max="6" width="40" hidden="0" customWidth="1"/>
    <x:col min="7" max="7" width="18" hidden="0" customWidth="1"/>
    <x:col min="8" max="8" width="18" hidden="0" customWidth="1"/>
    <x:col min="9" max="9" width="18" hidden="0" customWidth="1"/>
    <x:col min="10" max="10" width="14" hidden="0" customWidth="1"/>
  </x:cols>
  <x:sheetData>
    <x:row r="1" ht="8" customHeight="1"/>
    <x:row r="2" ht="15" hidden="0" customHeight="1">
      <x:c r="A2" s="23" t="str">
        <x:v>Meeting minutes register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15" hidden="0" customHeight="1">
      <x:c r="A4" s="15" t="str">
        <x:v>Meeting ID</x:v>
      </x:c>
      <x:c r="B4" s="15" t="str">
        <x:v>Date</x:v>
      </x:c>
      <x:c r="C4" s="15" t="str">
        <x:v>Title</x:v>
      </x:c>
      <x:c r="D4" s="15" t="str">
        <x:v>Participants / roles</x:v>
      </x:c>
      <x:c r="E4" s="15" t="str">
        <x:v>Objective</x:v>
      </x:c>
      <x:c r="F4" s="15" t="str">
        <x:v>Conclusion</x:v>
      </x:c>
      <x:c r="G4" s="15" t="str">
        <x:v>Decision IDs</x:v>
      </x:c>
      <x:c r="H4" s="15" t="str">
        <x:v>Action IDs</x:v>
      </x:c>
      <x:c r="I4" s="15" t="str">
        <x:v>Note owner</x:v>
      </x:c>
      <x:c r="J4" s="15" t="str">
        <x:v>Status</x:v>
      </x:c>
    </x:row>
    <x:row r="5" ht="24" hidden="0" customHeight="1">
      <x:c r="A5" s="19" t="str">
        <x:v>MTG-DEMO-001</x:v>
      </x:c>
      <x:c r="B5" s="21" t="n">
        <x:v>46296</x:v>
      </x:c>
      <x:c r="C5" s="19" t="str">
        <x:v>SYNTHETIC kickoff preparation example</x:v>
      </x:c>
      <x:c r="D5" s="19" t="str">
        <x:v>Project Lead; Sustainability owner</x:v>
      </x:c>
      <x:c r="E5" s="19" t="str">
        <x:v>Confirm success definition and first data request</x:v>
      </x:c>
      <x:c r="F5" s="19" t="str">
        <x:v>Demo only. Replace after client meeting.</x:v>
      </x:c>
      <x:c r="G5" s="19" t="str">
        <x:v>D-DEMO-001</x:v>
      </x:c>
      <x:c r="H5" s="19" t="str">
        <x:v>ACT-DEMO-001</x:v>
      </x:c>
      <x:c r="I5" s="19" t="str">
        <x:v>PMO</x:v>
      </x:c>
      <x:c r="J5" s="19" t="str">
        <x:v>Not Started</x:v>
      </x:c>
    </x:row>
  </x:sheetData>
  <x:conditionalFormatting sqref="J5:J5">
    <x:cfRule type="containsText" dxfId="13" priority="1" operator="containsText" text="Blocked"/>
    <x:cfRule type="containsText" dxfId="14" priority="2" operator="containsText" text="Amber"/>
    <x:cfRule type="containsText" dxfId="15" priority="3" operator="containsText" text="QA Pass"/>
    <x:cfRule type="containsText" dxfId="16" priority="4" operator="containsText" text="Complete"/>
    <x:cfRule type="containsText" dxfId="17" priority="5" operator="containsText" text="Closed"/>
  </x:conditionalFormatting>
  <x:dataValidations count="1">
    <x:dataValidation type="list" sqref="J5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57f57b3fce4d2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4" hidden="0" customWidth="1"/>
    <x:col min="4" max="4" width="20" hidden="0" customWidth="1"/>
    <x:col min="5" max="5" width="14" hidden="0" customWidth="1"/>
    <x:col min="6" max="6" width="16" hidden="0" customWidth="1"/>
    <x:col min="7" max="7" width="28" hidden="0" customWidth="1"/>
    <x:col min="8" max="8" width="28" hidden="0" customWidth="1"/>
    <x:col min="9" max="9" width="24" hidden="0" customWidth="1"/>
  </x:cols>
  <x:sheetData>
    <x:row r="1" ht="8" customHeight="1"/>
    <x:row r="2" ht="15" hidden="0" customHeight="1">
      <x:c r="A2" s="23" t="str">
        <x:v>Action log</x:v>
      </x:c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15" hidden="0" customHeight="1">
      <x:c r="A4" s="15" t="str">
        <x:v>Action ID</x:v>
      </x:c>
      <x:c r="B4" s="15" t="str">
        <x:v>Action</x:v>
      </x:c>
      <x:c r="C4" s="15" t="str">
        <x:v>Workstream</x:v>
      </x:c>
      <x:c r="D4" s="15" t="str">
        <x:v>Owner</x:v>
      </x:c>
      <x:c r="E4" s="15" t="str">
        <x:v>Due date</x:v>
      </x:c>
      <x:c r="F4" s="15" t="str">
        <x:v>Status</x:v>
      </x:c>
      <x:c r="G4" s="15" t="str">
        <x:v>Dependency</x:v>
      </x:c>
      <x:c r="H4" s="15" t="str">
        <x:v>Evidence</x:v>
      </x:c>
      <x:c r="I4" s="15" t="str">
        <x:v>Notes</x:v>
      </x:c>
    </x:row>
    <x:row r="5" ht="24" hidden="0" customHeight="1">
      <x:c r="A5" s="19" t="str">
        <x:v>ACT-PRE-001</x:v>
      </x:c>
      <x:c r="B5" s="19" t="str">
        <x:v>Confirm client sponsor, decision body and day-to-day owner</x:v>
      </x:c>
      <x:c r="C5" s="19" t="str">
        <x:v>1.1</x:v>
      </x:c>
      <x:c r="D5" s="19" t="str">
        <x:v>Project Lead</x:v>
      </x:c>
      <x:c r="E5" s="21"/>
      <x:c r="F5" s="19" t="str">
        <x:v>Not Started</x:v>
      </x:c>
      <x:c r="G5" s="19" t="str">
        <x:v>Kickoff scheduling</x:v>
      </x:c>
      <x:c r="H5" s="19" t="str"/>
      <x:c r="I5" s="19" t="str">
        <x:v>TBD WITH CLIENT</x:v>
      </x:c>
    </x:row>
    <x:row r="6" ht="15" hidden="0" customHeight="1">
      <x:c r="A6" s="20" t="str">
        <x:v>ACT-PRE-002</x:v>
      </x:c>
      <x:c r="B6" s="20" t="str">
        <x:v>Confirm approved file transfer and AI / SaaS rules</x:v>
      </x:c>
      <x:c r="C6" s="20" t="str">
        <x:v>1.1 / Shared</x:v>
      </x:c>
      <x:c r="D6" s="20" t="str">
        <x:v>Project Lead</x:v>
      </x:c>
      <x:c r="E6" s="22"/>
      <x:c r="F6" s="20" t="str">
        <x:v>Not Started</x:v>
      </x:c>
      <x:c r="G6" s="20" t="str">
        <x:v>Client security contact</x:v>
      </x:c>
      <x:c r="H6" s="20" t="str"/>
      <x:c r="I6" s="20" t="str">
        <x:v>TBD WITH CLIENT</x:v>
      </x:c>
    </x:row>
    <x:row r="7" ht="24" hidden="0" customHeight="1">
      <x:c r="A7" s="19" t="str">
        <x:v>ACT-PRE-003</x:v>
      </x:c>
      <x:c r="B7" s="19" t="str">
        <x:v>Approve information disclosure boundary before supplier outreach</x:v>
      </x:c>
      <x:c r="C7" s="19" t="str">
        <x:v>2.2</x:v>
      </x:c>
      <x:c r="D7" s="19" t="str">
        <x:v>Project Lead</x:v>
      </x:c>
      <x:c r="E7" s="21"/>
      <x:c r="F7" s="19" t="str">
        <x:v>Not Started</x:v>
      </x:c>
      <x:c r="G7" s="19" t="str">
        <x:v>AMAT Procurement / Legal</x:v>
      </x:c>
      <x:c r="H7" s="19" t="str"/>
      <x:c r="I7" s="19" t="str">
        <x:v>TBD WITH CLIENT</x:v>
      </x:c>
    </x:row>
  </x:sheetData>
  <x:conditionalFormatting sqref="F5:F7">
    <x:cfRule type="containsText" dxfId="18" priority="1" operator="containsText" text="Blocked"/>
    <x:cfRule type="containsText" dxfId="19" priority="2" operator="containsText" text="Amber"/>
    <x:cfRule type="containsText" dxfId="20" priority="3" operator="containsText" text="QA Pass"/>
    <x:cfRule type="containsText" dxfId="21" priority="4" operator="containsText" text="Complete"/>
    <x:cfRule type="containsText" dxfId="22" priority="5" operator="containsText" text="Closed"/>
  </x:conditionalFormatting>
  <x:dataValidations count="1">
    <x:dataValidation type="list" sqref="F5:F7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a76c51a7245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32" hidden="0" customWidth="1"/>
    <x:col min="4" max="4" width="28" hidden="0" customWidth="1"/>
    <x:col min="5" max="5" width="13" hidden="0" customWidth="1"/>
    <x:col min="6" max="6" width="13" hidden="0" customWidth="1"/>
    <x:col min="7" max="7" width="12" hidden="0" customWidth="1"/>
    <x:col min="8" max="8" width="40" hidden="0" customWidth="1"/>
    <x:col min="9" max="9" width="20" hidden="0" customWidth="1"/>
    <x:col min="10" max="10" width="12" hidden="0" customWidth="1"/>
  </x:cols>
  <x:sheetData>
    <x:row r="1" ht="8" customHeight="1"/>
    <x:row r="2" ht="15" hidden="0" customHeight="1">
      <x:c r="A2" s="23" t="str">
        <x:v>Risk log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15" hidden="0" customHeight="1">
      <x:c r="A4" s="15" t="str">
        <x:v>Risk ID</x:v>
      </x:c>
      <x:c r="B4" s="15" t="str">
        <x:v>Cause</x:v>
      </x:c>
      <x:c r="C4" s="15" t="str">
        <x:v>Risk event</x:v>
      </x:c>
      <x:c r="D4" s="15" t="str">
        <x:v>Impact</x:v>
      </x:c>
      <x:c r="E4" s="15" t="str">
        <x:v>Likelihood</x:v>
      </x:c>
      <x:c r="F4" s="15" t="str">
        <x:v>Impact level</x:v>
      </x:c>
      <x:c r="G4" s="15" t="str">
        <x:v>Rating</x:v>
      </x:c>
      <x:c r="H4" s="15" t="str">
        <x:v>Response</x:v>
      </x:c>
      <x:c r="I4" s="15" t="str">
        <x:v>Owner</x:v>
      </x:c>
      <x:c r="J4" s="15" t="str">
        <x:v>Status</x:v>
      </x:c>
    </x:row>
    <x:row r="5" ht="15" hidden="0" customHeight="1">
      <x:c r="A5" s="19" t="str">
        <x:v>R-001</x:v>
      </x:c>
      <x:c r="B5" s="19" t="str">
        <x:v>Decision roles are not confirmed</x:v>
      </x:c>
      <x:c r="C5" s="19" t="str">
        <x:v>Approvals stall or feedback conflicts</x:v>
      </x:c>
      <x:c r="D5" s="19" t="str">
        <x:v>Delay and rework</x:v>
      </x:c>
      <x:c r="E5" s="19" t="str">
        <x:v>Medium</x:v>
      </x:c>
      <x:c r="F5" s="19" t="str">
        <x:v>High</x:v>
      </x:c>
      <x:c r="G5" s="19" t="str">
        <x:v>High</x:v>
      </x:c>
      <x:c r="H5" s="19" t="str">
        <x:v>Validate RACI and gate owners in 1.1</x:v>
      </x:c>
      <x:c r="I5" s="19" t="str">
        <x:v>Project Lead</x:v>
      </x:c>
      <x:c r="J5" s="19" t="str">
        <x:v>Open</x:v>
      </x:c>
    </x:row>
    <x:row r="6" ht="24" hidden="0" customHeight="1">
      <x:c r="A6" s="20" t="str">
        <x:v>R-002</x:v>
      </x:c>
      <x:c r="B6" s="20" t="str">
        <x:v>Client data grain and quality are unknown</x:v>
      </x:c>
      <x:c r="C6" s="20" t="str">
        <x:v>Baseline cannot support requested analysis</x:v>
      </x:c>
      <x:c r="D6" s="20" t="str">
        <x:v>Reduced precision or scope change</x:v>
      </x:c>
      <x:c r="E6" s="20" t="str">
        <x:v>Medium</x:v>
      </x:c>
      <x:c r="F6" s="20" t="str">
        <x:v>High</x:v>
      </x:c>
      <x:c r="G6" s="20" t="str">
        <x:v>High</x:v>
      </x:c>
      <x:c r="H6" s="20" t="str">
        <x:v>Use 1.2 quality review and agreed assumption policy</x:v>
      </x:c>
      <x:c r="I6" s="20" t="str">
        <x:v>Data Lead</x:v>
      </x:c>
      <x:c r="J6" s="20" t="str">
        <x:v>Open</x:v>
      </x:c>
    </x:row>
    <x:row r="7" ht="24" hidden="0" customHeight="1">
      <x:c r="A7" s="19" t="str">
        <x:v>R-003</x:v>
      </x:c>
      <x:c r="B7" s="19" t="str">
        <x:v>Disclosure authority is not documented</x:v>
      </x:c>
      <x:c r="C7" s="19" t="str">
        <x:v>Market outreach shares too much or too little</x:v>
      </x:c>
      <x:c r="D7" s="19" t="str">
        <x:v>Confidentiality or market response risk</x:v>
      </x:c>
      <x:c r="E7" s="19" t="str">
        <x:v>Medium</x:v>
      </x:c>
      <x:c r="F7" s="19" t="str">
        <x:v>High</x:v>
      </x:c>
      <x:c r="G7" s="19" t="str">
        <x:v>High</x:v>
      </x:c>
      <x:c r="H7" s="19" t="str">
        <x:v>Approve disclosure ladder before 2.2</x:v>
      </x:c>
      <x:c r="I7" s="19" t="str">
        <x:v>Project Lead</x:v>
      </x:c>
      <x:c r="J7" s="19" t="str">
        <x:v>Open</x:v>
      </x:c>
    </x:row>
  </x:sheetData>
  <x:conditionalFormatting sqref="J5:J7">
    <x:cfRule type="containsText" dxfId="23" priority="1" operator="containsText" text="Blocked"/>
    <x:cfRule type="containsText" dxfId="24" priority="2" operator="containsText" text="Amber"/>
    <x:cfRule type="containsText" dxfId="25" priority="3" operator="containsText" text="QA Pass"/>
    <x:cfRule type="containsText" dxfId="26" priority="4" operator="containsText" text="Complete"/>
    <x:cfRule type="containsText" dxfId="27" priority="5" operator="containsText" text="Closed"/>
  </x:conditionalFormatting>
  <x:dataValidations count="1">
    <x:dataValidation type="list" sqref="J5:J7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f888530a9a40a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0" hidden="0" customWidth="1"/>
    <x:col min="3" max="3" width="30" hidden="0" customWidth="1"/>
    <x:col min="4" max="4" width="34" hidden="0" customWidth="1"/>
    <x:col min="5" max="5" width="38" hidden="0" customWidth="1"/>
    <x:col min="6" max="6" width="18" hidden="0" customWidth="1"/>
    <x:col min="7" max="7" width="14" hidden="0" customWidth="1"/>
    <x:col min="8" max="8" width="14" hidden="0" customWidth="1"/>
  </x:cols>
  <x:sheetData>
    <x:row r="1" ht="8" customHeight="1"/>
    <x:row r="2" ht="15" hidden="0" customHeight="1">
      <x:c r="A2" s="23" t="str">
        <x:v>Issue log</x:v>
      </x:c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15" hidden="0" customHeight="1">
      <x:c r="A4" s="15" t="str">
        <x:v>Issue ID</x:v>
      </x:c>
      <x:c r="B4" s="15" t="str">
        <x:v>Fact pattern</x:v>
      </x:c>
      <x:c r="C4" s="15" t="str">
        <x:v>Impact</x:v>
      </x:c>
      <x:c r="D4" s="15" t="str">
        <x:v>Containment</x:v>
      </x:c>
      <x:c r="E4" s="15" t="str">
        <x:v>Resolution plan</x:v>
      </x:c>
      <x:c r="F4" s="15" t="str">
        <x:v>Owner</x:v>
      </x:c>
      <x:c r="G4" s="15" t="str">
        <x:v>Target date</x:v>
      </x:c>
      <x:c r="H4" s="15" t="str">
        <x:v>Status</x:v>
      </x:c>
    </x:row>
    <x:row r="5" ht="24" hidden="0" customHeight="1">
      <x:c r="A5" s="19" t="str">
        <x:v>I-DEMO-001</x:v>
      </x:c>
      <x:c r="B5" s="19" t="str">
        <x:v>SYNTHETIC / DEMO DATA: required consumption file arrives without meter IDs</x:v>
      </x:c>
      <x:c r="C5" s="19" t="str">
        <x:v>Cannot reconcile site baseline</x:v>
      </x:c>
      <x:c r="D5" s="19" t="str">
        <x:v>Pause model refresh and preserve raw file</x:v>
      </x:c>
      <x:c r="E5" s="19" t="str">
        <x:v>Request mapping table and validate duplicates</x:v>
      </x:c>
      <x:c r="F5" s="19" t="str">
        <x:v>Data Lead</x:v>
      </x:c>
      <x:c r="G5" s="21"/>
      <x:c r="H5" s="19" t="str">
        <x:v>Deferred</x:v>
      </x:c>
    </x:row>
  </x:sheetData>
  <x:conditionalFormatting sqref="H5:H5">
    <x:cfRule type="containsText" dxfId="28" priority="1" operator="containsText" text="Blocked"/>
    <x:cfRule type="containsText" dxfId="29" priority="2" operator="containsText" text="Amber"/>
    <x:cfRule type="containsText" dxfId="30" priority="3" operator="containsText" text="QA Pass"/>
    <x:cfRule type="containsText" dxfId="31" priority="4" operator="containsText" text="Complete"/>
    <x:cfRule type="containsText" dxfId="32" priority="5" operator="containsText" text="Closed"/>
  </x:conditionalFormatting>
  <x:dataValidations count="1">
    <x:dataValidation type="list" sqref="H5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a80bc6f024c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40" hidden="0" customWidth="1"/>
    <x:col min="4" max="4" width="24" hidden="0" customWidth="1"/>
    <x:col min="5" max="5" width="34" hidden="0" customWidth="1"/>
    <x:col min="6" max="6" width="38" hidden="0" customWidth="1"/>
    <x:col min="7" max="7" width="36" hidden="0" customWidth="1"/>
    <x:col min="8" max="8" width="34" hidden="0" customWidth="1"/>
    <x:col min="9" max="9" width="14" hidden="0" customWidth="1"/>
  </x:cols>
  <x:sheetData>
    <x:row r="1" ht="8" customHeight="1"/>
    <x:row r="2" ht="15" hidden="0" customHeight="1">
      <x:c r="A2" s="23" t="str">
        <x:v>Decision log</x:v>
      </x:c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15" hidden="0" customHeight="1">
      <x:c r="A4" s="15" t="str">
        <x:v>Decision ID</x:v>
      </x:c>
      <x:c r="B4" s="15" t="str">
        <x:v>Date</x:v>
      </x:c>
      <x:c r="C4" s="15" t="str">
        <x:v>Decision</x:v>
      </x:c>
      <x:c r="D4" s="15" t="str">
        <x:v>Decision maker</x:v>
      </x:c>
      <x:c r="E4" s="15" t="str">
        <x:v>Options considered</x:v>
      </x:c>
      <x:c r="F4" s="15" t="str">
        <x:v>Rationale</x:v>
      </x:c>
      <x:c r="G4" s="15" t="str">
        <x:v>Conditions</x:v>
      </x:c>
      <x:c r="H4" s="15" t="str">
        <x:v>Affected artifacts</x:v>
      </x:c>
      <x:c r="I4" s="15" t="str">
        <x:v>Status</x:v>
      </x:c>
    </x:row>
    <x:row r="5" ht="24" hidden="0" customHeight="1">
      <x:c r="A5" s="19" t="str">
        <x:v>D-ARCH-001</x:v>
      </x:c>
      <x:c r="B5" s="21" t="n">
        <x:v>46292</x:v>
      </x:c>
      <x:c r="C5" s="19" t="str">
        <x:v>Use a document-first, gate-based delivery architecture for repository v0.1</x:v>
      </x:c>
      <x:c r="D5" s="19" t="str">
        <x:v>Optimum pre-delivery build</x:v>
      </x:c>
      <x:c r="E5" s="19" t="str">
        <x:v>Deck-heavy; document-first; minimal placeholders</x:v>
      </x:c>
      <x:c r="F5" s="19" t="str">
        <x:v>Supports concise client decisions and reusable internal method</x:v>
      </x:c>
      <x:c r="G5" s="19" t="str">
        <x:v>Client-specific expectations remain TBD WITH CLIENT</x:v>
      </x:c>
      <x:c r="H5" s="19" t="str">
        <x:v>Master Blueprint; Architecture</x:v>
      </x:c>
      <x:c r="I5" s="19" t="str">
        <x:v>Complete</x:v>
      </x:c>
    </x:row>
  </x:sheetData>
  <x:conditionalFormatting sqref="I5:I5">
    <x:cfRule type="containsText" dxfId="33" priority="1" operator="containsText" text="Blocked"/>
    <x:cfRule type="containsText" dxfId="34" priority="2" operator="containsText" text="Amber"/>
    <x:cfRule type="containsText" dxfId="35" priority="3" operator="containsText" text="QA Pass"/>
    <x:cfRule type="containsText" dxfId="36" priority="4" operator="containsText" text="Complete"/>
    <x:cfRule type="containsText" dxfId="37" priority="5" operator="containsText" text="Closed"/>
  </x:conditionalFormatting>
  <x:dataValidations count="1">
    <x:dataValidation type="list" sqref="I5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23fe70e2e5478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36" hidden="0" customWidth="1"/>
    <x:col min="4" max="4" width="22" hidden="0" customWidth="1"/>
    <x:col min="5" max="5" width="32" hidden="0" customWidth="1"/>
    <x:col min="6" max="6" width="34" hidden="0" customWidth="1"/>
    <x:col min="7" max="7" width="18" hidden="0" customWidth="1"/>
    <x:col min="8" max="8" width="14" hidden="0" customWidth="1"/>
    <x:col min="9" max="9" width="14" hidden="0" customWidth="1"/>
  </x:cols>
  <x:sheetData>
    <x:row r="1" ht="8" customHeight="1"/>
    <x:row r="2" ht="15" hidden="0" customHeight="1">
      <x:c r="A2" s="23" t="str">
        <x:v>Assumption log</x:v>
      </x:c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15" hidden="0" customHeight="1">
      <x:c r="A4" s="15" t="str">
        <x:v>Assumption ID</x:v>
      </x:c>
      <x:c r="B4" s="15" t="str">
        <x:v>Statement</x:v>
      </x:c>
      <x:c r="C4" s="15" t="str">
        <x:v>Basis</x:v>
      </x:c>
      <x:c r="D4" s="15" t="str">
        <x:v>Affected output</x:v>
      </x:c>
      <x:c r="E4" s="15" t="str">
        <x:v>Impact if wrong</x:v>
      </x:c>
      <x:c r="F4" s="15" t="str">
        <x:v>Validation method</x:v>
      </x:c>
      <x:c r="G4" s="15" t="str">
        <x:v>Owner</x:v>
      </x:c>
      <x:c r="H4" s="15" t="str">
        <x:v>Review date</x:v>
      </x:c>
      <x:c r="I4" s="15" t="str">
        <x:v>Status</x:v>
      </x:c>
    </x:row>
    <x:row r="5" ht="36" hidden="0" customHeight="1">
      <x:c r="A5" s="19" t="str">
        <x:v>A-001</x:v>
      </x:c>
      <x:c r="B5" s="19" t="str">
        <x:v>Core stakeholders may include Taiwan sustainability, Procurement, Facilities, Finance, Legal and regional / global owners</x:v>
      </x:c>
      <x:c r="C5" s="19" t="str">
        <x:v>HYPOTHESIS based on typical enterprise procurement governance</x:v>
      </x:c>
      <x:c r="D5" s="19" t="str">
        <x:v>1.1; 1.3; 1.6</x:v>
      </x:c>
      <x:c r="E5" s="19" t="str">
        <x:v>Wrong audience or approval path</x:v>
      </x:c>
      <x:c r="F5" s="19" t="str">
        <x:v>Validate stakeholder map at kickoff</x:v>
      </x:c>
      <x:c r="G5" s="19" t="str">
        <x:v>Project Lead</x:v>
      </x:c>
      <x:c r="H5" s="21"/>
      <x:c r="I5" s="19" t="str">
        <x:v>Open</x:v>
      </x:c>
    </x:row>
    <x:row r="6" ht="24" hidden="0" customHeight="1">
      <x:c r="A6" s="20" t="str">
        <x:v>A-002</x:v>
      </x:c>
      <x:c r="B6" s="20" t="str">
        <x:v>Annual residual gap is the first planning basis; finer granularity depends on data availability</x:v>
      </x:c>
      <x:c r="C6" s="20" t="str">
        <x:v>HYPOTHESIS for pre-delivery model design</x:v>
      </x:c>
      <x:c r="D6" s="20" t="str">
        <x:v>1.4; 1.5</x:v>
      </x:c>
      <x:c r="E6" s="20" t="str">
        <x:v>Model may require redesign</x:v>
      </x:c>
      <x:c r="F6" s="20" t="str">
        <x:v>Review data grain in 1.2</x:v>
      </x:c>
      <x:c r="G6" s="20" t="str">
        <x:v>Data Lead</x:v>
      </x:c>
      <x:c r="H6" s="22"/>
      <x:c r="I6" s="20" t="str">
        <x:v>Open</x:v>
      </x:c>
    </x:row>
  </x:sheetData>
  <x:conditionalFormatting sqref="I5:I6">
    <x:cfRule type="containsText" dxfId="38" priority="1" operator="containsText" text="Blocked"/>
    <x:cfRule type="containsText" dxfId="39" priority="2" operator="containsText" text="Amber"/>
    <x:cfRule type="containsText" dxfId="40" priority="3" operator="containsText" text="QA Pass"/>
    <x:cfRule type="containsText" dxfId="41" priority="4" operator="containsText" text="Complete"/>
    <x:cfRule type="containsText" dxfId="42" priority="5" operator="containsText" text="Closed"/>
  </x:conditionalFormatting>
  <x:dataValidations count="1">
    <x:dataValidation type="list" sqref="I5:I6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eb554ce8140d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8" hidden="0" customWidth="1"/>
    <x:col min="4" max="4" width="20" hidden="0" customWidth="1"/>
    <x:col min="5" max="5" width="38" hidden="0" customWidth="1"/>
    <x:col min="6" max="6" width="34" hidden="0" customWidth="1"/>
    <x:col min="7" max="7" width="30" hidden="0" customWidth="1"/>
    <x:col min="8" max="8" width="14" hidden="0" customWidth="1"/>
    <x:col min="9" max="9" width="14" hidden="0" customWidth="1"/>
  </x:cols>
  <x:sheetData>
    <x:row r="1" ht="8" customHeight="1"/>
    <x:row r="2" ht="15" hidden="0" customHeight="1">
      <x:c r="A2" s="23" t="str">
        <x:v>Scope and change log</x:v>
      </x:c>
      <x:c r="B2" s="24"/>
      <x:c r="C2" s="24"/>
      <x:c r="D2" s="24"/>
      <x:c r="E2" s="24"/>
      <x:c r="F2" s="24"/>
      <x:c r="G2" s="24"/>
      <x:c r="H2" s="24"/>
      <x:c r="I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</x:row>
    <x:row r="4" ht="15" hidden="0" customHeight="1">
      <x:c r="A4" s="15" t="str">
        <x:v>Change ID</x:v>
      </x:c>
      <x:c r="B4" s="15" t="str">
        <x:v>Date raised</x:v>
      </x:c>
      <x:c r="C4" s="15" t="str">
        <x:v>Request</x:v>
      </x:c>
      <x:c r="D4" s="15" t="str">
        <x:v>Requester</x:v>
      </x:c>
      <x:c r="E4" s="15" t="str">
        <x:v>Scope / time / quality impact</x:v>
      </x:c>
      <x:c r="F4" s="15" t="str">
        <x:v>Recommendation</x:v>
      </x:c>
      <x:c r="G4" s="15" t="str">
        <x:v>Decision</x:v>
      </x:c>
      <x:c r="H4" s="15" t="str">
        <x:v>Decision date</x:v>
      </x:c>
      <x:c r="I4" s="15" t="str">
        <x:v>Status</x:v>
      </x:c>
    </x:row>
    <x:row r="5" ht="24" hidden="0" customHeight="1">
      <x:c r="A5" s="19" t="str">
        <x:v>CHG-DEMO-001</x:v>
      </x:c>
      <x:c r="B5" s="21" t="n">
        <x:v>46305</x:v>
      </x:c>
      <x:c r="C5" s="19" t="str">
        <x:v>SYNTHETIC / DEMO DATA: add hourly matching analysis</x:v>
      </x:c>
      <x:c r="D5" s="19" t="str">
        <x:v>Client stakeholder</x:v>
      </x:c>
      <x:c r="E5" s="19" t="str">
        <x:v>Requires interval data and added model scope</x:v>
      </x:c>
      <x:c r="F5" s="19" t="str">
        <x:v>Assess data availability before acceptance</x:v>
      </x:c>
      <x:c r="G5" s="19" t="str">
        <x:v>No decision. Demo only.</x:v>
      </x:c>
      <x:c r="H5" s="21"/>
      <x:c r="I5" s="19" t="str">
        <x:v>Deferred</x:v>
      </x:c>
    </x:row>
  </x:sheetData>
  <x:conditionalFormatting sqref="I5:I5">
    <x:cfRule type="containsText" dxfId="43" priority="1" operator="containsText" text="Blocked"/>
    <x:cfRule type="containsText" dxfId="44" priority="2" operator="containsText" text="Amber"/>
    <x:cfRule type="containsText" dxfId="45" priority="3" operator="containsText" text="QA Pass"/>
    <x:cfRule type="containsText" dxfId="46" priority="4" operator="containsText" text="Complete"/>
    <x:cfRule type="containsText" dxfId="47" priority="5" operator="containsText" text="Closed"/>
  </x:conditionalFormatting>
  <x:dataValidations count="1">
    <x:dataValidation type="list" sqref="I5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1b9db011dd4bc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40" hidden="0" customWidth="1"/>
    <x:col min="4" max="4" width="24" hidden="0" customWidth="1"/>
    <x:col min="5" max="5" width="14" hidden="0" customWidth="1"/>
    <x:col min="6" max="6" width="34" hidden="0" customWidth="1"/>
    <x:col min="7" max="7" width="14" hidden="0" customWidth="1"/>
    <x:col min="8" max="8" width="22" hidden="0" customWidth="1"/>
    <x:col min="9" max="9" width="42" hidden="0" customWidth="1"/>
    <x:col min="10" max="10" width="34" hidden="0" customWidth="1"/>
    <x:col min="11" max="11" width="14" hidden="0" customWidth="1"/>
  </x:cols>
  <x:sheetData>
    <x:row r="1" ht="8" customHeight="1"/>
    <x:row r="2" ht="15" hidden="0" customHeight="1">
      <x:c r="A2" s="23" t="str">
        <x:v>Source log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 ht="15" hidden="0" customHeight="1">
      <x:c r="A4" s="15" t="str">
        <x:v>Source ID</x:v>
      </x:c>
      <x:c r="B4" s="15" t="str">
        <x:v>Type</x:v>
      </x:c>
      <x:c r="C4" s="15" t="str">
        <x:v>Title / description</x:v>
      </x:c>
      <x:c r="D4" s="15" t="str">
        <x:v>Publisher / owner</x:v>
      </x:c>
      <x:c r="E4" s="15" t="str">
        <x:v>Publication date</x:v>
      </x:c>
      <x:c r="F4" s="15" t="str">
        <x:v>Location / URL</x:v>
      </x:c>
      <x:c r="G4" s="15" t="str">
        <x:v>Access date</x:v>
      </x:c>
      <x:c r="H4" s="15" t="str">
        <x:v>Reliability</x:v>
      </x:c>
      <x:c r="I4" s="15" t="str">
        <x:v>Scope / limitations</x:v>
      </x:c>
      <x:c r="J4" s="15" t="str">
        <x:v>Used in</x:v>
      </x:c>
      <x:c r="K4" s="15" t="str">
        <x:v>Status</x:v>
      </x:c>
    </x:row>
    <x:row r="5" ht="24" hidden="0" customHeight="1">
      <x:c r="A5" s="19" t="str">
        <x:v>SRC-001</x:v>
      </x:c>
      <x:c r="B5" s="19" t="str">
        <x:v>Internal brief</x:v>
      </x:c>
      <x:c r="C5" s="19" t="str">
        <x:v>User-provided AMAT pre-delivery repository brief</x:v>
      </x:c>
      <x:c r="D5" s="19" t="str">
        <x:v>Project requester</x:v>
      </x:c>
      <x:c r="E5" s="21" t="n">
        <x:v>46292</x:v>
      </x:c>
      <x:c r="F5" s="19" t="str">
        <x:v>Project request</x:v>
      </x:c>
      <x:c r="G5" s="21" t="n">
        <x:v>46292</x:v>
      </x:c>
      <x:c r="H5" s="19" t="str">
        <x:v>Primary task definition</x:v>
      </x:c>
      <x:c r="I5" s="19" t="str">
        <x:v>Does not confirm AMAT-specific facts</x:v>
      </x:c>
      <x:c r="J5" s="19" t="str">
        <x:v>Repository architecture and acceptance criteria</x:v>
      </x:c>
      <x:c r="K5" s="1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27e7550e7a88405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0" hidden="0" customWidth="1"/>
    <x:col min="4" max="4" width="12" hidden="0" customWidth="1"/>
    <x:col min="5" max="5" width="12" hidden="0" customWidth="1"/>
    <x:col min="6" max="6" width="28" hidden="0" customWidth="1"/>
    <x:col min="7" max="7" width="36" hidden="0" customWidth="1"/>
    <x:col min="8" max="8" width="34" hidden="0" customWidth="1"/>
    <x:col min="9" max="9" width="16" hidden="0" customWidth="1"/>
    <x:col min="10" max="10" width="18" hidden="0" customWidth="1"/>
  </x:cols>
  <x:sheetData>
    <x:row r="1" ht="8" customHeight="1"/>
    <x:row r="2" ht="15" hidden="0" customHeight="1">
      <x:c r="A2" s="23" t="str">
        <x:v>Stakeholder map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15" hidden="0" customHeight="1">
      <x:c r="A4" s="15" t="str">
        <x:v>Stakeholder ID</x:v>
      </x:c>
      <x:c r="B4" s="15" t="str">
        <x:v>Role hypothesis</x:v>
      </x:c>
      <x:c r="C4" s="15" t="str">
        <x:v>Function</x:v>
      </x:c>
      <x:c r="D4" s="15" t="str">
        <x:v>Influence</x:v>
      </x:c>
      <x:c r="E4" s="15" t="str">
        <x:v>Interest</x:v>
      </x:c>
      <x:c r="F4" s="15" t="str">
        <x:v>Decision role</x:v>
      </x:c>
      <x:c r="G4" s="15" t="str">
        <x:v>Information need</x:v>
      </x:c>
      <x:c r="H4" s="15" t="str">
        <x:v>Engagement plan</x:v>
      </x:c>
      <x:c r="I4" s="15" t="str">
        <x:v>Status label</x:v>
      </x:c>
      <x:c r="J4" s="15" t="str">
        <x:v>Validation status</x:v>
      </x:c>
    </x:row>
    <x:row r="5" ht="15" hidden="0" customHeight="1">
      <x:c r="A5" s="19" t="str">
        <x:v>STK-001</x:v>
      </x:c>
      <x:c r="B5" s="19" t="str">
        <x:v>Taiwan sustainability / RE100 owner</x:v>
      </x:c>
      <x:c r="C5" s="19" t="str">
        <x:v>Sustainability</x:v>
      </x:c>
      <x:c r="D5" s="19" t="str">
        <x:v>High</x:v>
      </x:c>
      <x:c r="E5" s="19" t="str">
        <x:v>High</x:v>
      </x:c>
      <x:c r="F5" s="19" t="str">
        <x:v>Baseline / roadmap owner</x:v>
      </x:c>
      <x:c r="G5" s="19" t="str">
        <x:v>Gap, options, reporting implications</x:v>
      </x:c>
      <x:c r="H5" s="19" t="str">
        <x:v>Kickoff interview and workshop</x:v>
      </x:c>
      <x:c r="I5" s="19" t="str">
        <x:v>HYPOTHESIS</x:v>
      </x:c>
      <x:c r="J5" s="19" t="str">
        <x:v>TBD WITH CLIENT</x:v>
      </x:c>
    </x:row>
    <x:row r="6" ht="24" hidden="0" customHeight="1">
      <x:c r="A6" s="20" t="str">
        <x:v>STK-002</x:v>
      </x:c>
      <x:c r="B6" s="20" t="str">
        <x:v>Procurement</x:v>
      </x:c>
      <x:c r="C6" s="20" t="str">
        <x:v>Procurement</x:v>
      </x:c>
      <x:c r="D6" s="20" t="str">
        <x:v>High</x:v>
      </x:c>
      <x:c r="E6" s="20" t="str">
        <x:v>High</x:v>
      </x:c>
      <x:c r="F6" s="20" t="str">
        <x:v>Market process and commercial approval</x:v>
      </x:c>
      <x:c r="G6" s="20" t="str">
        <x:v>Supplier universe, process, terms</x:v>
      </x:c>
      <x:c r="H6" s="20" t="str">
        <x:v>Kickoff interview; 2.x governance</x:v>
      </x:c>
      <x:c r="I6" s="20" t="str">
        <x:v>HYPOTHESIS</x:v>
      </x:c>
      <x:c r="J6" s="20" t="str">
        <x:v>TBD WITH CLIENT</x:v>
      </x:c>
    </x:row>
    <x:row r="7" ht="15" hidden="0" customHeight="1">
      <x:c r="A7" s="19" t="str">
        <x:v>STK-003</x:v>
      </x:c>
      <x:c r="B7" s="19" t="str">
        <x:v>Facilities / site energy owners</x:v>
      </x:c>
      <x:c r="C7" s="19" t="str">
        <x:v>Operations</x:v>
      </x:c>
      <x:c r="D7" s="19" t="str">
        <x:v>Medium</x:v>
      </x:c>
      <x:c r="E7" s="19" t="str">
        <x:v>High</x:v>
      </x:c>
      <x:c r="F7" s="19" t="str">
        <x:v>Data and implementation owner</x:v>
      </x:c>
      <x:c r="G7" s="19" t="str">
        <x:v>Meters, load, wheeling and operational needs</x:v>
      </x:c>
      <x:c r="H7" s="19" t="str">
        <x:v>Data interview and workshop</x:v>
      </x:c>
      <x:c r="I7" s="19" t="str">
        <x:v>HYPOTHESIS</x:v>
      </x:c>
      <x:c r="J7" s="19" t="str">
        <x:v>TBD WITH CLIENT</x:v>
      </x:c>
    </x:row>
    <x:row r="8" ht="15" hidden="0" customHeight="1">
      <x:c r="A8" s="20" t="str">
        <x:v>STK-004</x:v>
      </x:c>
      <x:c r="B8" s="20" t="str">
        <x:v>Finance</x:v>
      </x:c>
      <x:c r="C8" s="20" t="str">
        <x:v>Finance</x:v>
      </x:c>
      <x:c r="D8" s="20" t="str">
        <x:v>High</x:v>
      </x:c>
      <x:c r="E8" s="20" t="str">
        <x:v>Medium</x:v>
      </x:c>
      <x:c r="F8" s="20" t="str">
        <x:v>Budget / risk / approval</x:v>
      </x:c>
      <x:c r="G8" s="20" t="str">
        <x:v>Cost, settlement, credit and accounting</x:v>
      </x:c>
      <x:c r="H8" s="20" t="str">
        <x:v>Scenario and decision reviews</x:v>
      </x:c>
      <x:c r="I8" s="20" t="str">
        <x:v>HYPOTHESIS</x:v>
      </x:c>
      <x:c r="J8" s="20" t="str">
        <x:v>TBD WITH CLIENT</x:v>
      </x:c>
    </x:row>
    <x:row r="9" ht="15" hidden="0" customHeight="1">
      <x:c r="A9" s="19" t="str">
        <x:v>STK-005</x:v>
      </x:c>
      <x:c r="B9" s="19" t="str">
        <x:v>Legal</x:v>
      </x:c>
      <x:c r="C9" s="19" t="str">
        <x:v>Legal</x:v>
      </x:c>
      <x:c r="D9" s="19" t="str">
        <x:v>High</x:v>
      </x:c>
      <x:c r="E9" s="19" t="str">
        <x:v>Medium</x:v>
      </x:c>
      <x:c r="F9" s="19" t="str">
        <x:v>Legal advice and contract approval</x:v>
      </x:c>
      <x:c r="G9" s="19" t="str">
        <x:v>NDA, risk allocation, contracting</x:v>
      </x:c>
      <x:c r="H9" s="19" t="str">
        <x:v>Boundary review; 3.x</x:v>
      </x:c>
      <x:c r="I9" s="19" t="str">
        <x:v>HYPOTHESIS</x:v>
      </x:c>
      <x:c r="J9" s="19" t="str">
        <x:v>TBD WITH CLIENT</x:v>
      </x:c>
    </x:row>
    <x:row r="10" ht="24" hidden="0" customHeight="1">
      <x:c r="A10" s="20" t="str">
        <x:v>STK-006</x:v>
      </x:c>
      <x:c r="B10" s="20" t="str">
        <x:v>Regional / global sustainability and procurement</x:v>
      </x:c>
      <x:c r="C10" s="20" t="str">
        <x:v>Regional / Global</x:v>
      </x:c>
      <x:c r="D10" s="20" t="str">
        <x:v>High</x:v>
      </x:c>
      <x:c r="E10" s="20" t="str">
        <x:v>Medium</x:v>
      </x:c>
      <x:c r="F10" s="20" t="str">
        <x:v>Policy and final alignment</x:v>
      </x:c>
      <x:c r="G10" s="20" t="str">
        <x:v>RE100 policy, global approvals, portfolio fit</x:v>
      </x:c>
      <x:c r="H10" s="20" t="str">
        <x:v>Targeted interviews and gates</x:v>
      </x:c>
      <x:c r="I10" s="20" t="str">
        <x:v>HYPOTHESIS</x:v>
      </x:c>
      <x:c r="J10" s="20" t="str">
        <x:v>TBD WITH CLIENT</x:v>
      </x:c>
    </x:row>
  </x:sheetData>
  <x:pageMargins left="0.7" right="0.7" top="0.75" bottom="0.75" header="0.3" footer="0.3"/>
  <x:tableParts count="1">
    <x:tablePart xmlns:r="http://schemas.openxmlformats.org/officeDocument/2006/relationships" r:id="R8d4a44e2de81461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34" hidden="0" customWidth="1"/>
    <x:col min="4" max="4" width="24" hidden="0" customWidth="1"/>
    <x:col min="5" max="5" width="14" hidden="0" customWidth="1"/>
    <x:col min="6" max="6" width="14" hidden="0" customWidth="1"/>
    <x:col min="7" max="7" width="38" hidden="0" customWidth="1"/>
    <x:col min="8" max="8" width="24" hidden="0" customWidth="1"/>
  </x:cols>
  <x:sheetData>
    <x:row r="1" ht="8" customHeight="1"/>
    <x:row r="2" ht="15" hidden="0" customHeight="1">
      <x:c r="A2" s="23" t="str">
        <x:v>Client question log</x:v>
      </x:c>
      <x:c r="B2" s="24"/>
      <x:c r="C2" s="24"/>
      <x:c r="D2" s="24"/>
      <x:c r="E2" s="24"/>
      <x:c r="F2" s="24"/>
      <x:c r="G2" s="24"/>
      <x:c r="H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</x:row>
    <x:row r="4" ht="15" hidden="0" customHeight="1">
      <x:c r="A4" s="15" t="str">
        <x:v>Question ID</x:v>
      </x:c>
      <x:c r="B4" s="15" t="str">
        <x:v>Question</x:v>
      </x:c>
      <x:c r="C4" s="15" t="str">
        <x:v>Why needed</x:v>
      </x:c>
      <x:c r="D4" s="15" t="str">
        <x:v>Answer owner</x:v>
      </x:c>
      <x:c r="E4" s="15" t="str">
        <x:v>Needed by</x:v>
      </x:c>
      <x:c r="F4" s="15" t="str">
        <x:v>Status</x:v>
      </x:c>
      <x:c r="G4" s="15" t="str">
        <x:v>Answer / evidence</x:v>
      </x:c>
      <x:c r="H4" s="15" t="str">
        <x:v>Affected workstreams</x:v>
      </x:c>
    </x:row>
    <x:row r="5" ht="24" hidden="0" customHeight="1">
      <x:c r="A5" s="19" t="str">
        <x:v>Q-001</x:v>
      </x:c>
      <x:c r="B5" s="19" t="str">
        <x:v>Who is the sponsor, day-to-day owner and decision body for each gate?</x:v>
      </x:c>
      <x:c r="C5" s="19" t="str">
        <x:v>RACI, cadence and approvals</x:v>
      </x:c>
      <x:c r="D5" s="19" t="str">
        <x:v>TBD WITH CLIENT</x:v>
      </x:c>
      <x:c r="E5" s="19" t="str">
        <x:v>Kickoff</x:v>
      </x:c>
      <x:c r="F5" s="19" t="str">
        <x:v>Open</x:v>
      </x:c>
      <x:c r="G5" s="19" t="str"/>
      <x:c r="H5" s="19" t="str">
        <x:v>1.1; all</x:v>
      </x:c>
    </x:row>
    <x:row r="6" ht="24" hidden="0" customHeight="1">
      <x:c r="A6" s="20" t="str">
        <x:v>Q-002</x:v>
      </x:c>
      <x:c r="B6" s="20" t="str">
        <x:v>What sites, meters, periods and data grain define the analysis boundary?</x:v>
      </x:c>
      <x:c r="C6" s="20" t="str">
        <x:v>Baseline and model design</x:v>
      </x:c>
      <x:c r="D6" s="20" t="str">
        <x:v>Facilities / data owner</x:v>
      </x:c>
      <x:c r="E6" s="20" t="str">
        <x:v>Before G1</x:v>
      </x:c>
      <x:c r="F6" s="20" t="str">
        <x:v>Open</x:v>
      </x:c>
      <x:c r="G6" s="20" t="str"/>
      <x:c r="H6" s="20" t="str">
        <x:v>1.2; 1.4; 1.5</x:v>
      </x:c>
    </x:row>
    <x:row r="7" ht="24" hidden="0" customHeight="1">
      <x:c r="A7" s="19" t="str">
        <x:v>Q-003</x:v>
      </x:c>
      <x:c r="B7" s="19" t="str">
        <x:v>How does AMAT define eligible renewable procurement and target years for this project?</x:v>
      </x:c>
      <x:c r="C7" s="19" t="str">
        <x:v>Residual gap and option eligibility</x:v>
      </x:c>
      <x:c r="D7" s="19" t="str">
        <x:v>Sustainability / RE100 owner</x:v>
      </x:c>
      <x:c r="E7" s="19" t="str">
        <x:v>Before G3</x:v>
      </x:c>
      <x:c r="F7" s="19" t="str">
        <x:v>Open</x:v>
      </x:c>
      <x:c r="G7" s="19" t="str"/>
      <x:c r="H7" s="19" t="str">
        <x:v>1.4; 1.5; 2.x</x:v>
      </x:c>
    </x:row>
    <x:row r="8" ht="24" hidden="0" customHeight="1">
      <x:c r="A8" s="20" t="str">
        <x:v>Q-004</x:v>
      </x:c>
      <x:c r="B8" s="20" t="str">
        <x:v>What client identity and volume information may Optimum disclose at each market stage?</x:v>
      </x:c>
      <x:c r="C8" s="20" t="str">
        <x:v>Confidentiality and response quality</x:v>
      </x:c>
      <x:c r="D8" s="20" t="str">
        <x:v>Sponsor / Procurement / Legal</x:v>
      </x:c>
      <x:c r="E8" s="20" t="str">
        <x:v>Before 2.2</x:v>
      </x:c>
      <x:c r="F8" s="20" t="str">
        <x:v>Open</x:v>
      </x:c>
      <x:c r="G8" s="20" t="str"/>
      <x:c r="H8" s="20" t="str">
        <x:v>2.1; 2.2; 2.5</x:v>
      </x:c>
    </x:row>
    <x:row r="9" ht="24" hidden="0" customHeight="1">
      <x:c r="A9" s="19" t="str">
        <x:v>Q-005</x:v>
      </x:c>
      <x:c r="B9" s="19" t="str">
        <x:v>Which legal counsel provides formal legal advice and who owns contract redlines?</x:v>
      </x:c>
      <x:c r="C9" s="19" t="str">
        <x:v>Commercial / legal interface</x:v>
      </x:c>
      <x:c r="D9" s="19" t="str">
        <x:v>AMAT Legal</x:v>
      </x:c>
      <x:c r="E9" s="19" t="str">
        <x:v>Before 3.2</x:v>
      </x:c>
      <x:c r="F9" s="19" t="str">
        <x:v>Open</x:v>
      </x:c>
      <x:c r="G9" s="19" t="str"/>
      <x:c r="H9" s="19" t="str">
        <x:v>3.2–3.5</x:v>
      </x:c>
    </x:row>
  </x:sheetData>
  <x:conditionalFormatting sqref="F5:F9">
    <x:cfRule type="containsText" dxfId="48" priority="1" operator="containsText" text="Blocked"/>
    <x:cfRule type="containsText" dxfId="49" priority="2" operator="containsText" text="Amber"/>
    <x:cfRule type="containsText" dxfId="50" priority="3" operator="containsText" text="QA Pass"/>
    <x:cfRule type="containsText" dxfId="51" priority="4" operator="containsText" text="Complete"/>
    <x:cfRule type="containsText" dxfId="52" priority="5" operator="containsText" text="Closed"/>
  </x:conditionalFormatting>
  <x:dataValidations count="1">
    <x:dataValidation type="list" sqref="F5:F9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31d49419e34a7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28" hidden="0" customWidth="1"/>
    <x:col min="5" max="5" width="22" hidden="0" customWidth="1"/>
    <x:col min="6" max="6" width="20" hidden="0" customWidth="1"/>
    <x:col min="7" max="7" width="14" hidden="0" customWidth="1"/>
    <x:col min="8" max="8" width="12" hidden="0" customWidth="1"/>
    <x:col min="9" max="9" width="16" hidden="0" customWidth="1"/>
    <x:col min="10" max="10" width="32" hidden="0" customWidth="1"/>
    <x:col min="11" max="11" width="26" hidden="0" customWidth="1"/>
  </x:cols>
  <x:sheetData>
    <x:row r="1" ht="8" customHeight="1"/>
    <x:row r="2" ht="15" hidden="0" customHeight="1">
      <x:c r="A2" s="23" t="str">
        <x:v>Deliverable register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</x:row>
    <x:row r="4" ht="15" hidden="0" customHeight="1">
      <x:c r="A4" s="15" t="str">
        <x:v>Deliverable ID</x:v>
      </x:c>
      <x:c r="B4" s="15" t="str">
        <x:v>Workstream</x:v>
      </x:c>
      <x:c r="C4" s="15" t="str">
        <x:v>Artifact / package</x:v>
      </x:c>
      <x:c r="D4" s="15" t="str">
        <x:v>Audience</x:v>
      </x:c>
      <x:c r="E4" s="15" t="str">
        <x:v>Owner</x:v>
      </x:c>
      <x:c r="F4" s="15" t="str">
        <x:v>Reviewer</x:v>
      </x:c>
      <x:c r="G4" s="15" t="str">
        <x:v>Due date</x:v>
      </x:c>
      <x:c r="H4" s="15" t="str">
        <x:v>Version</x:v>
      </x:c>
      <x:c r="I4" s="15" t="str">
        <x:v>Status</x:v>
      </x:c>
      <x:c r="J4" s="15" t="str">
        <x:v>Acceptance basis</x:v>
      </x:c>
      <x:c r="K4" s="15" t="str">
        <x:v>Location</x:v>
      </x:c>
    </x:row>
    <x:row r="5" ht="15" hidden="0" customHeight="1">
      <x:c r="A5" s="19" t="str">
        <x:v>DEL-ARCH</x:v>
      </x:c>
      <x:c r="B5" s="19" t="str">
        <x:v>Architecture</x:v>
      </x:c>
      <x:c r="C5" s="19" t="str">
        <x:v>Acceptance criteria, architecture and master blueprint</x:v>
      </x:c>
      <x:c r="D5" s="19" t="str">
        <x:v>Founder / Project Lead</x:v>
      </x:c>
      <x:c r="E5" s="19" t="str">
        <x:v>Repository author</x:v>
      </x:c>
      <x:c r="F5" s="19" t="str">
        <x:v>Project Lead</x:v>
      </x:c>
      <x:c r="G5" s="21"/>
      <x:c r="H5" s="19" t="str">
        <x:v>v0.1</x:v>
      </x:c>
      <x:c r="I5" s="19" t="str">
        <x:v>QA Pass</x:v>
      </x:c>
      <x:c r="J5" s="19" t="str">
        <x:v>Architecture QA</x:v>
      </x:c>
      <x:c r="K5" s="19" t="str">
        <x:v>Root / shared</x:v>
      </x:c>
    </x:row>
    <x:row r="6" ht="15" hidden="0" customHeight="1">
      <x:c r="A6" s="20" t="str">
        <x:v>DEL-SHARED</x:v>
      </x:c>
      <x:c r="B6" s="20" t="str">
        <x:v>Shared</x:v>
      </x:c>
      <x:c r="C6" s="20" t="str">
        <x:v>Project controls, confidentiality and market conduct</x:v>
      </x:c>
      <x:c r="D6" s="20" t="str">
        <x:v>Project team</x:v>
      </x:c>
      <x:c r="E6" s="20" t="str">
        <x:v>Repository author</x:v>
      </x:c>
      <x:c r="F6" s="20" t="str">
        <x:v>Project Lead</x:v>
      </x:c>
      <x:c r="G6" s="22"/>
      <x:c r="H6" s="20" t="str">
        <x:v>v0.1</x:v>
      </x:c>
      <x:c r="I6" s="20" t="str">
        <x:v>In Progress</x:v>
      </x:c>
      <x:c r="J6" s="20" t="str">
        <x:v>Shared QA</x:v>
      </x:c>
      <x:c r="K6" s="20" t="str">
        <x:v>shared</x:v>
      </x:c>
    </x:row>
    <x:row r="7" ht="15" hidden="0" customHeight="1">
      <x:c r="A7" s="19" t="str">
        <x:v>DEL-TRAIN</x:v>
      </x:c>
      <x:c r="B7" s="19" t="str">
        <x:v>Training</x:v>
      </x:c>
      <x:c r="C7" s="19" t="str">
        <x:v>New hire guide and task brief</x:v>
      </x:c>
      <x:c r="D7" s="19" t="str">
        <x:v>New hires / reviewers</x:v>
      </x:c>
      <x:c r="E7" s="19" t="str">
        <x:v>Repository author</x:v>
      </x:c>
      <x:c r="F7" s="19" t="str">
        <x:v>Project Lead</x:v>
      </x:c>
      <x:c r="G7" s="21"/>
      <x:c r="H7" s="19" t="str">
        <x:v>v0.1</x:v>
      </x:c>
      <x:c r="I7" s="19" t="str">
        <x:v>In Progress</x:v>
      </x:c>
      <x:c r="J7" s="19" t="str">
        <x:v>Training usability QA</x:v>
      </x:c>
      <x:c r="K7" s="19" t="str">
        <x:v>training</x:v>
      </x:c>
    </x:row>
    <x:row r="8" ht="15" hidden="0" customHeight="1">
      <x:c r="A8" s="20" t="str">
        <x:v>DEL-01</x:v>
      </x:c>
      <x:c r="B8" s="20" t="str">
        <x:v>1.1</x:v>
      </x:c>
      <x:c r="C8" s="20" t="str">
        <x:v>1.1 Kickoff</x:v>
      </x:c>
      <x:c r="D8" s="20" t="str">
        <x:v>TBD WITH CLIENT</x:v>
      </x:c>
      <x:c r="E8" s="20" t="str">
        <x:v>TBD WITH OPTIMUM</x:v>
      </x:c>
      <x:c r="F8" s="20" t="str">
        <x:v>Project Lead</x:v>
      </x:c>
      <x:c r="G8" s="22"/>
      <x:c r="H8" s="20" t="str">
        <x:v>v0.1</x:v>
      </x:c>
      <x:c r="I8" s="20" t="str">
        <x:v>Not Started</x:v>
      </x:c>
      <x:c r="J8" s="20" t="str">
        <x:v>Workstream Definition of Done</x:v>
      </x:c>
      <x:c r="K8" s="20" t="str">
        <x:v>workstreams/01</x:v>
      </x:c>
    </x:row>
    <x:row r="9" ht="15" hidden="0" customHeight="1">
      <x:c r="A9" s="19" t="str">
        <x:v>DEL-02</x:v>
      </x:c>
      <x:c r="B9" s="19" t="str">
        <x:v>1.2</x:v>
      </x:c>
      <x:c r="C9" s="19" t="str">
        <x:v>1.2 Data requirements</x:v>
      </x:c>
      <x:c r="D9" s="19" t="str">
        <x:v>TBD WITH CLIENT</x:v>
      </x:c>
      <x:c r="E9" s="19" t="str">
        <x:v>TBD WITH OPTIMUM</x:v>
      </x:c>
      <x:c r="F9" s="19" t="str">
        <x:v>Project Lead</x:v>
      </x:c>
      <x:c r="G9" s="21"/>
      <x:c r="H9" s="19" t="str">
        <x:v>v0.1</x:v>
      </x:c>
      <x:c r="I9" s="19" t="str">
        <x:v>Not Started</x:v>
      </x:c>
      <x:c r="J9" s="19" t="str">
        <x:v>Workstream Definition of Done</x:v>
      </x:c>
      <x:c r="K9" s="19" t="str">
        <x:v>workstreams/02</x:v>
      </x:c>
    </x:row>
    <x:row r="10" ht="15" hidden="0" customHeight="1">
      <x:c r="A10" s="20" t="str">
        <x:v>DEL-03</x:v>
      </x:c>
      <x:c r="B10" s="20" t="str">
        <x:v>1.3</x:v>
      </x:c>
      <x:c r="C10" s="20" t="str">
        <x:v>1.3 Taiwan market workshop</x:v>
      </x:c>
      <x:c r="D10" s="20" t="str">
        <x:v>TBD WITH CLIENT</x:v>
      </x:c>
      <x:c r="E10" s="20" t="str">
        <x:v>TBD WITH OPTIMUM</x:v>
      </x:c>
      <x:c r="F10" s="20" t="str">
        <x:v>Project Lead</x:v>
      </x:c>
      <x:c r="G10" s="22"/>
      <x:c r="H10" s="20" t="str">
        <x:v>v0.1</x:v>
      </x:c>
      <x:c r="I10" s="20" t="str">
        <x:v>Not Started</x:v>
      </x:c>
      <x:c r="J10" s="20" t="str">
        <x:v>Workstream Definition of Done</x:v>
      </x:c>
      <x:c r="K10" s="20" t="str">
        <x:v>workstreams/03</x:v>
      </x:c>
    </x:row>
    <x:row r="11" ht="15" hidden="0" customHeight="1">
      <x:c r="A11" s="19" t="str">
        <x:v>DEL-04</x:v>
      </x:c>
      <x:c r="B11" s="19" t="str">
        <x:v>1.4</x:v>
      </x:c>
      <x:c r="C11" s="19" t="str">
        <x:v>1.4 RE100 gap analysis</x:v>
      </x:c>
      <x:c r="D11" s="19" t="str">
        <x:v>TBD WITH CLIENT</x:v>
      </x:c>
      <x:c r="E11" s="19" t="str">
        <x:v>TBD WITH OPTIMUM</x:v>
      </x:c>
      <x:c r="F11" s="19" t="str">
        <x:v>Project Lead</x:v>
      </x:c>
      <x:c r="G11" s="21"/>
      <x:c r="H11" s="19" t="str">
        <x:v>v0.1</x:v>
      </x:c>
      <x:c r="I11" s="19" t="str">
        <x:v>Not Started</x:v>
      </x:c>
      <x:c r="J11" s="19" t="str">
        <x:v>Workstream Definition of Done</x:v>
      </x:c>
      <x:c r="K11" s="19" t="str">
        <x:v>workstreams/04</x:v>
      </x:c>
    </x:row>
    <x:row r="12" ht="15" hidden="0" customHeight="1">
      <x:c r="A12" s="20" t="str">
        <x:v>DEL-05</x:v>
      </x:c>
      <x:c r="B12" s="20" t="str">
        <x:v>1.5</x:v>
      </x:c>
      <x:c r="C12" s="20" t="str">
        <x:v>1.5 Portfolio scenario analysis</x:v>
      </x:c>
      <x:c r="D12" s="20" t="str">
        <x:v>TBD WITH CLIENT</x:v>
      </x:c>
      <x:c r="E12" s="20" t="str">
        <x:v>TBD WITH OPTIMUM</x:v>
      </x:c>
      <x:c r="F12" s="20" t="str">
        <x:v>Project Lead</x:v>
      </x:c>
      <x:c r="G12" s="22"/>
      <x:c r="H12" s="20" t="str">
        <x:v>v0.1</x:v>
      </x:c>
      <x:c r="I12" s="20" t="str">
        <x:v>Not Started</x:v>
      </x:c>
      <x:c r="J12" s="20" t="str">
        <x:v>Workstream Definition of Done</x:v>
      </x:c>
      <x:c r="K12" s="20" t="str">
        <x:v>workstreams/05</x:v>
      </x:c>
    </x:row>
    <x:row r="13" ht="15" hidden="0" customHeight="1">
      <x:c r="A13" s="19" t="str">
        <x:v>DEL-06</x:v>
      </x:c>
      <x:c r="B13" s="19" t="str">
        <x:v>1.6</x:v>
      </x:c>
      <x:c r="C13" s="19" t="str">
        <x:v>1.6 Alignment roadmap</x:v>
      </x:c>
      <x:c r="D13" s="19" t="str">
        <x:v>TBD WITH CLIENT</x:v>
      </x:c>
      <x:c r="E13" s="19" t="str">
        <x:v>TBD WITH OPTIMUM</x:v>
      </x:c>
      <x:c r="F13" s="19" t="str">
        <x:v>Project Lead</x:v>
      </x:c>
      <x:c r="G13" s="21"/>
      <x:c r="H13" s="19" t="str">
        <x:v>v0.1</x:v>
      </x:c>
      <x:c r="I13" s="19" t="str">
        <x:v>Not Started</x:v>
      </x:c>
      <x:c r="J13" s="19" t="str">
        <x:v>Workstream Definition of Done</x:v>
      </x:c>
      <x:c r="K13" s="19" t="str">
        <x:v>workstreams/06</x:v>
      </x:c>
    </x:row>
    <x:row r="14" ht="15" hidden="0" customHeight="1">
      <x:c r="A14" s="20" t="str">
        <x:v>DEL-07</x:v>
      </x:c>
      <x:c r="B14" s="20" t="str">
        <x:v>2.1</x:v>
      </x:c>
      <x:c r="C14" s="20" t="str">
        <x:v>2.1 Market scan</x:v>
      </x:c>
      <x:c r="D14" s="20" t="str">
        <x:v>TBD WITH CLIENT</x:v>
      </x:c>
      <x:c r="E14" s="20" t="str">
        <x:v>TBD WITH OPTIMUM</x:v>
      </x:c>
      <x:c r="F14" s="20" t="str">
        <x:v>Project Lead</x:v>
      </x:c>
      <x:c r="G14" s="22"/>
      <x:c r="H14" s="20" t="str">
        <x:v>v0.1</x:v>
      </x:c>
      <x:c r="I14" s="20" t="str">
        <x:v>Not Started</x:v>
      </x:c>
      <x:c r="J14" s="20" t="str">
        <x:v>Workstream Definition of Done</x:v>
      </x:c>
      <x:c r="K14" s="20" t="str">
        <x:v>workstreams/07</x:v>
      </x:c>
    </x:row>
    <x:row r="15" ht="15" hidden="0" customHeight="1">
      <x:c r="A15" s="19" t="str">
        <x:v>DEL-08</x:v>
      </x:c>
      <x:c r="B15" s="19" t="str">
        <x:v>2.2</x:v>
      </x:c>
      <x:c r="C15" s="19" t="str">
        <x:v>2.2 Market engagement</x:v>
      </x:c>
      <x:c r="D15" s="19" t="str">
        <x:v>TBD WITH CLIENT</x:v>
      </x:c>
      <x:c r="E15" s="19" t="str">
        <x:v>TBD WITH OPTIMUM</x:v>
      </x:c>
      <x:c r="F15" s="19" t="str">
        <x:v>Project Lead</x:v>
      </x:c>
      <x:c r="G15" s="21"/>
      <x:c r="H15" s="19" t="str">
        <x:v>v0.1</x:v>
      </x:c>
      <x:c r="I15" s="19" t="str">
        <x:v>Not Started</x:v>
      </x:c>
      <x:c r="J15" s="19" t="str">
        <x:v>Workstream Definition of Done</x:v>
      </x:c>
      <x:c r="K15" s="19" t="str">
        <x:v>workstreams/08</x:v>
      </x:c>
    </x:row>
    <x:row r="16" ht="15" hidden="0" customHeight="1">
      <x:c r="A16" s="20" t="str">
        <x:v>DEL-09</x:v>
      </x:c>
      <x:c r="B16" s="20" t="str">
        <x:v>2.3</x:v>
      </x:c>
      <x:c r="C16" s="20" t="str">
        <x:v>2.3 Short-term procurement</x:v>
      </x:c>
      <x:c r="D16" s="20" t="str">
        <x:v>TBD WITH CLIENT</x:v>
      </x:c>
      <x:c r="E16" s="20" t="str">
        <x:v>TBD WITH OPTIMUM</x:v>
      </x:c>
      <x:c r="F16" s="20" t="str">
        <x:v>Project Lead</x:v>
      </x:c>
      <x:c r="G16" s="22"/>
      <x:c r="H16" s="20" t="str">
        <x:v>v0.1</x:v>
      </x:c>
      <x:c r="I16" s="20" t="str">
        <x:v>Not Started</x:v>
      </x:c>
      <x:c r="J16" s="20" t="str">
        <x:v>Workstream Definition of Done</x:v>
      </x:c>
      <x:c r="K16" s="20" t="str">
        <x:v>workstreams/09</x:v>
      </x:c>
    </x:row>
    <x:row r="17" ht="15" hidden="0" customHeight="1">
      <x:c r="A17" s="19" t="str">
        <x:v>DEL-10</x:v>
      </x:c>
      <x:c r="B17" s="19" t="str">
        <x:v>2.4</x:v>
      </x:c>
      <x:c r="C17" s="19" t="str">
        <x:v>2.4 Long-term procurement</x:v>
      </x:c>
      <x:c r="D17" s="19" t="str">
        <x:v>TBD WITH CLIENT</x:v>
      </x:c>
      <x:c r="E17" s="19" t="str">
        <x:v>TBD WITH OPTIMUM</x:v>
      </x:c>
      <x:c r="F17" s="19" t="str">
        <x:v>Project Lead</x:v>
      </x:c>
      <x:c r="G17" s="21"/>
      <x:c r="H17" s="19" t="str">
        <x:v>v0.1</x:v>
      </x:c>
      <x:c r="I17" s="19" t="str">
        <x:v>Not Started</x:v>
      </x:c>
      <x:c r="J17" s="19" t="str">
        <x:v>Workstream Definition of Done</x:v>
      </x:c>
      <x:c r="K17" s="19" t="str">
        <x:v>workstreams/10</x:v>
      </x:c>
    </x:row>
    <x:row r="18" ht="15" hidden="0" customHeight="1">
      <x:c r="A18" s="20" t="str">
        <x:v>DEL-11</x:v>
      </x:c>
      <x:c r="B18" s="20" t="str">
        <x:v>2.5</x:v>
      </x:c>
      <x:c r="C18" s="20" t="str">
        <x:v>2.5 Targeted RFQ</x:v>
      </x:c>
      <x:c r="D18" s="20" t="str">
        <x:v>TBD WITH CLIENT</x:v>
      </x:c>
      <x:c r="E18" s="20" t="str">
        <x:v>TBD WITH OPTIMUM</x:v>
      </x:c>
      <x:c r="F18" s="20" t="str">
        <x:v>Project Lead</x:v>
      </x:c>
      <x:c r="G18" s="22"/>
      <x:c r="H18" s="20" t="str">
        <x:v>v0.1</x:v>
      </x:c>
      <x:c r="I18" s="20" t="str">
        <x:v>Not Started</x:v>
      </x:c>
      <x:c r="J18" s="20" t="str">
        <x:v>Workstream Definition of Done</x:v>
      </x:c>
      <x:c r="K18" s="20" t="str">
        <x:v>workstreams/11</x:v>
      </x:c>
    </x:row>
    <x:row r="19" ht="15" hidden="0" customHeight="1">
      <x:c r="A19" s="19" t="str">
        <x:v>DEL-12</x:v>
      </x:c>
      <x:c r="B19" s="19" t="str">
        <x:v>2.6</x:v>
      </x:c>
      <x:c r="C19" s="19" t="str">
        <x:v>2.6 Evaluation and DD</x:v>
      </x:c>
      <x:c r="D19" s="19" t="str">
        <x:v>TBD WITH CLIENT</x:v>
      </x:c>
      <x:c r="E19" s="19" t="str">
        <x:v>TBD WITH OPTIMUM</x:v>
      </x:c>
      <x:c r="F19" s="19" t="str">
        <x:v>Project Lead</x:v>
      </x:c>
      <x:c r="G19" s="21"/>
      <x:c r="H19" s="19" t="str">
        <x:v>v0.1</x:v>
      </x:c>
      <x:c r="I19" s="19" t="str">
        <x:v>Not Started</x:v>
      </x:c>
      <x:c r="J19" s="19" t="str">
        <x:v>Workstream Definition of Done</x:v>
      </x:c>
      <x:c r="K19" s="19" t="str">
        <x:v>workstreams/12</x:v>
      </x:c>
    </x:row>
    <x:row r="20" ht="15" hidden="0" customHeight="1">
      <x:c r="A20" s="20" t="str">
        <x:v>DEL-13</x:v>
      </x:c>
      <x:c r="B20" s="20" t="str">
        <x:v>3.1</x:v>
      </x:c>
      <x:c r="C20" s="20" t="str">
        <x:v>3.1 Commercial alignment</x:v>
      </x:c>
      <x:c r="D20" s="20" t="str">
        <x:v>TBD WITH CLIENT</x:v>
      </x:c>
      <x:c r="E20" s="20" t="str">
        <x:v>TBD WITH OPTIMUM</x:v>
      </x:c>
      <x:c r="F20" s="20" t="str">
        <x:v>Project Lead</x:v>
      </x:c>
      <x:c r="G20" s="22"/>
      <x:c r="H20" s="20" t="str">
        <x:v>v0.1</x:v>
      </x:c>
      <x:c r="I20" s="20" t="str">
        <x:v>Not Started</x:v>
      </x:c>
      <x:c r="J20" s="20" t="str">
        <x:v>Workstream Definition of Done</x:v>
      </x:c>
      <x:c r="K20" s="20" t="str">
        <x:v>workstreams/13</x:v>
      </x:c>
    </x:row>
    <x:row r="21" ht="15" hidden="0" customHeight="1">
      <x:c r="A21" s="19" t="str">
        <x:v>DEL-14</x:v>
      </x:c>
      <x:c r="B21" s="19" t="str">
        <x:v>3.2</x:v>
      </x:c>
      <x:c r="C21" s="19" t="str">
        <x:v>3.2 Contract review</x:v>
      </x:c>
      <x:c r="D21" s="19" t="str">
        <x:v>TBD WITH CLIENT</x:v>
      </x:c>
      <x:c r="E21" s="19" t="str">
        <x:v>TBD WITH OPTIMUM</x:v>
      </x:c>
      <x:c r="F21" s="19" t="str">
        <x:v>Project Lead</x:v>
      </x:c>
      <x:c r="G21" s="21"/>
      <x:c r="H21" s="19" t="str">
        <x:v>v0.1</x:v>
      </x:c>
      <x:c r="I21" s="19" t="str">
        <x:v>Not Started</x:v>
      </x:c>
      <x:c r="J21" s="19" t="str">
        <x:v>Workstream Definition of Done</x:v>
      </x:c>
      <x:c r="K21" s="19" t="str">
        <x:v>workstreams/14</x:v>
      </x:c>
    </x:row>
    <x:row r="22" ht="15" hidden="0" customHeight="1">
      <x:c r="A22" s="20" t="str">
        <x:v>DEL-15</x:v>
      </x:c>
      <x:c r="B22" s="20" t="str">
        <x:v>3.3</x:v>
      </x:c>
      <x:c r="C22" s="20" t="str">
        <x:v>3.3 Negotiation round 1</x:v>
      </x:c>
      <x:c r="D22" s="20" t="str">
        <x:v>TBD WITH CLIENT</x:v>
      </x:c>
      <x:c r="E22" s="20" t="str">
        <x:v>TBD WITH OPTIMUM</x:v>
      </x:c>
      <x:c r="F22" s="20" t="str">
        <x:v>Project Lead</x:v>
      </x:c>
      <x:c r="G22" s="22"/>
      <x:c r="H22" s="20" t="str">
        <x:v>v0.1</x:v>
      </x:c>
      <x:c r="I22" s="20" t="str">
        <x:v>Not Started</x:v>
      </x:c>
      <x:c r="J22" s="20" t="str">
        <x:v>Workstream Definition of Done</x:v>
      </x:c>
      <x:c r="K22" s="20" t="str">
        <x:v>workstreams/15</x:v>
      </x:c>
    </x:row>
    <x:row r="23" ht="15" hidden="0" customHeight="1">
      <x:c r="A23" s="19" t="str">
        <x:v>DEL-16</x:v>
      </x:c>
      <x:c r="B23" s="19" t="str">
        <x:v>3.4</x:v>
      </x:c>
      <x:c r="C23" s="19" t="str">
        <x:v>3.4 Negotiation decision</x:v>
      </x:c>
      <x:c r="D23" s="19" t="str">
        <x:v>TBD WITH CLIENT</x:v>
      </x:c>
      <x:c r="E23" s="19" t="str">
        <x:v>TBD WITH OPTIMUM</x:v>
      </x:c>
      <x:c r="F23" s="19" t="str">
        <x:v>Project Lead</x:v>
      </x:c>
      <x:c r="G23" s="21"/>
      <x:c r="H23" s="19" t="str">
        <x:v>v0.1</x:v>
      </x:c>
      <x:c r="I23" s="19" t="str">
        <x:v>Not Started</x:v>
      </x:c>
      <x:c r="J23" s="19" t="str">
        <x:v>Workstream Definition of Done</x:v>
      </x:c>
      <x:c r="K23" s="19" t="str">
        <x:v>workstreams/16</x:v>
      </x:c>
    </x:row>
    <x:row r="24" ht="15" hidden="0" customHeight="1">
      <x:c r="A24" s="20" t="str">
        <x:v>DEL-17</x:v>
      </x:c>
      <x:c r="B24" s="20" t="str">
        <x:v>3.5</x:v>
      </x:c>
      <x:c r="C24" s="20" t="str">
        <x:v>3.5 Signing readiness</x:v>
      </x:c>
      <x:c r="D24" s="20" t="str">
        <x:v>TBD WITH CLIENT</x:v>
      </x:c>
      <x:c r="E24" s="20" t="str">
        <x:v>TBD WITH OPTIMUM</x:v>
      </x:c>
      <x:c r="F24" s="20" t="str">
        <x:v>Project Lead</x:v>
      </x:c>
      <x:c r="G24" s="22"/>
      <x:c r="H24" s="20" t="str">
        <x:v>v0.1</x:v>
      </x:c>
      <x:c r="I24" s="20" t="str">
        <x:v>Not Started</x:v>
      </x:c>
      <x:c r="J24" s="20" t="str">
        <x:v>Workstream Definition of Done</x:v>
      </x:c>
      <x:c r="K24" s="20" t="str">
        <x:v>workstreams/17</x:v>
      </x:c>
    </x:row>
    <x:row r="25" ht="15" hidden="0" customHeight="1">
      <x:c r="A25" s="19" t="str">
        <x:v>DEL-18</x:v>
      </x:c>
      <x:c r="B25" s="19" t="str">
        <x:v>3.6</x:v>
      </x:c>
      <x:c r="C25" s="19" t="str">
        <x:v>3.6 Execution tracking</x:v>
      </x:c>
      <x:c r="D25" s="19" t="str">
        <x:v>TBD WITH CLIENT</x:v>
      </x:c>
      <x:c r="E25" s="19" t="str">
        <x:v>TBD WITH OPTIMUM</x:v>
      </x:c>
      <x:c r="F25" s="19" t="str">
        <x:v>Project Lead</x:v>
      </x:c>
      <x:c r="G25" s="21"/>
      <x:c r="H25" s="19" t="str">
        <x:v>v0.1</x:v>
      </x:c>
      <x:c r="I25" s="19" t="str">
        <x:v>Not Started</x:v>
      </x:c>
      <x:c r="J25" s="19" t="str">
        <x:v>Workstream Definition of Done</x:v>
      </x:c>
      <x:c r="K25" s="19" t="str">
        <x:v>workstreams/18</x:v>
      </x:c>
    </x:row>
  </x:sheetData>
  <x:conditionalFormatting sqref="I5:I25">
    <x:cfRule type="containsText" dxfId="53" priority="1" operator="containsText" text="Blocked"/>
    <x:cfRule type="containsText" dxfId="54" priority="2" operator="containsText" text="Amber"/>
    <x:cfRule type="containsText" dxfId="55" priority="3" operator="containsText" text="QA Pass"/>
    <x:cfRule type="containsText" dxfId="56" priority="4" operator="containsText" text="Complete"/>
    <x:cfRule type="containsText" dxfId="57" priority="5" operator="containsText" text="Closed"/>
  </x:conditionalFormatting>
  <x:dataValidations count="1">
    <x:dataValidation type="list" sqref="I5:I25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64d95b4503466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34" hidden="0" customWidth="1"/>
    <x:col min="4" max="4" width="26" hidden="0" customWidth="1"/>
    <x:col min="5" max="5" width="14" hidden="0" customWidth="1"/>
    <x:col min="6" max="6" width="14" hidden="0" customWidth="1"/>
    <x:col min="7" max="7" width="20" hidden="0" customWidth="1"/>
    <x:col min="8" max="8" width="10" hidden="0" customWidth="1"/>
    <x:col min="9" max="9" width="42" hidden="0" customWidth="1"/>
    <x:col min="10" max="10" width="16" hidden="0" customWidth="1"/>
  </x:cols>
  <x:sheetData>
    <x:row r="1" ht="8" customHeight="1"/>
    <x:row r="2" ht="15" hidden="0" customHeight="1">
      <x:c r="A2" s="23" t="str">
        <x:v>Master schedule and decision gates</x:v>
      </x:c>
      <x:c r="B2" s="24"/>
      <x:c r="C2" s="24"/>
      <x:c r="D2" s="24"/>
      <x:c r="E2" s="24"/>
      <x:c r="F2" s="24"/>
      <x:c r="G2" s="24"/>
      <x:c r="H2" s="24"/>
      <x:c r="I2" s="24"/>
      <x:c r="J2" s="24"/>
    </x:row>
    <x:row r="3" ht="15" hidden="0" customHeight="1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 ht="15" hidden="0" customHeight="1">
      <x:c r="A4" s="15" t="str">
        <x:v>Milestone ID</x:v>
      </x:c>
      <x:c r="B4" s="15" t="str">
        <x:v>Workstream</x:v>
      </x:c>
      <x:c r="C4" s="15" t="str">
        <x:v>Milestone</x:v>
      </x:c>
      <x:c r="D4" s="15" t="str">
        <x:v>Owner</x:v>
      </x:c>
      <x:c r="E4" s="15" t="str">
        <x:v>Start</x:v>
      </x:c>
      <x:c r="F4" s="15" t="str">
        <x:v>Finish</x:v>
      </x:c>
      <x:c r="G4" s="15" t="str">
        <x:v>Predecessor</x:v>
      </x:c>
      <x:c r="H4" s="15" t="str">
        <x:v>Gate</x:v>
      </x:c>
      <x:c r="I4" s="15" t="str">
        <x:v>Exit evidence</x:v>
      </x:c>
      <x:c r="J4" s="15" t="str">
        <x:v>Status</x:v>
      </x:c>
    </x:row>
    <x:row r="5" ht="15" hidden="0" customHeight="1">
      <x:c r="A5" s="19" t="str">
        <x:v>M-G0</x:v>
      </x:c>
      <x:c r="B5" s="19" t="str">
        <x:v>1.1</x:v>
      </x:c>
      <x:c r="C5" s="19" t="str">
        <x:v>G0 Kickoff alignment</x:v>
      </x:c>
      <x:c r="D5" s="19" t="str">
        <x:v>Project Lead</x:v>
      </x:c>
      <x:c r="E5" s="21"/>
      <x:c r="F5" s="21"/>
      <x:c r="G5" s="19" t="str"/>
      <x:c r="H5" s="19" t="str">
        <x:v>G0</x:v>
      </x:c>
      <x:c r="I5" s="19" t="str">
        <x:v>Charter and governance accepted</x:v>
      </x:c>
      <x:c r="J5" s="19" t="str">
        <x:v>Not Started</x:v>
      </x:c>
    </x:row>
    <x:row r="6" ht="15" hidden="0" customHeight="1">
      <x:c r="A6" s="20" t="str">
        <x:v>M-G1</x:v>
      </x:c>
      <x:c r="B6" s="20" t="str">
        <x:v>1.2</x:v>
      </x:c>
      <x:c r="C6" s="20" t="str">
        <x:v>G1 Data readiness</x:v>
      </x:c>
      <x:c r="D6" s="20" t="str">
        <x:v>Data Lead</x:v>
      </x:c>
      <x:c r="E6" s="22"/>
      <x:c r="F6" s="22"/>
      <x:c r="G6" s="20" t="str">
        <x:v>M-G0</x:v>
      </x:c>
      <x:c r="H6" s="20" t="str">
        <x:v>G1</x:v>
      </x:c>
      <x:c r="I6" s="20" t="str">
        <x:v>Data quality and assumption policy accepted</x:v>
      </x:c>
      <x:c r="J6" s="20" t="str">
        <x:v>Not Started</x:v>
      </x:c>
    </x:row>
    <x:row r="7" ht="15" hidden="0" customHeight="1">
      <x:c r="A7" s="19" t="str">
        <x:v>M-G2</x:v>
      </x:c>
      <x:c r="B7" s="19" t="str">
        <x:v>1.3</x:v>
      </x:c>
      <x:c r="C7" s="19" t="str">
        <x:v>G2 Shared market understanding</x:v>
      </x:c>
      <x:c r="D7" s="19" t="str">
        <x:v>Project Lead</x:v>
      </x:c>
      <x:c r="E7" s="21"/>
      <x:c r="F7" s="21"/>
      <x:c r="G7" s="19" t="str">
        <x:v>M-G0</x:v>
      </x:c>
      <x:c r="H7" s="19" t="str">
        <x:v>G2</x:v>
      </x:c>
      <x:c r="I7" s="19" t="str">
        <x:v>Workshop learnings and actions accepted</x:v>
      </x:c>
      <x:c r="J7" s="19" t="str">
        <x:v>Not Started</x:v>
      </x:c>
    </x:row>
    <x:row r="8" ht="15" hidden="0" customHeight="1">
      <x:c r="A8" s="20" t="str">
        <x:v>M-G3</x:v>
      </x:c>
      <x:c r="B8" s="20" t="str">
        <x:v>1.4</x:v>
      </x:c>
      <x:c r="C8" s="20" t="str">
        <x:v>G3 Baseline accepted</x:v>
      </x:c>
      <x:c r="D8" s="20" t="str">
        <x:v>Client RE100 owner</x:v>
      </x:c>
      <x:c r="E8" s="22"/>
      <x:c r="F8" s="22"/>
      <x:c r="G8" s="20" t="str">
        <x:v>M-G1; M-G2</x:v>
      </x:c>
      <x:c r="H8" s="20" t="str">
        <x:v>G3</x:v>
      </x:c>
      <x:c r="I8" s="20" t="str">
        <x:v>Residual gap and quality flags accepted</x:v>
      </x:c>
      <x:c r="J8" s="20" t="str">
        <x:v>Not Started</x:v>
      </x:c>
    </x:row>
    <x:row r="9" ht="15" hidden="0" customHeight="1">
      <x:c r="A9" s="19" t="str">
        <x:v>M-G4</x:v>
      </x:c>
      <x:c r="B9" s="19" t="str">
        <x:v>1.5</x:v>
      </x:c>
      <x:c r="C9" s="19" t="str">
        <x:v>G4 Portfolio direction</x:v>
      </x:c>
      <x:c r="D9" s="19" t="str">
        <x:v>Steering group</x:v>
      </x:c>
      <x:c r="E9" s="21"/>
      <x:c r="F9" s="21"/>
      <x:c r="G9" s="19" t="str">
        <x:v>M-G3</x:v>
      </x:c>
      <x:c r="H9" s="19" t="str">
        <x:v>G4</x:v>
      </x:c>
      <x:c r="I9" s="19" t="str">
        <x:v>Portfolio direction selected</x:v>
      </x:c>
      <x:c r="J9" s="19" t="str">
        <x:v>Not Started</x:v>
      </x:c>
    </x:row>
    <x:row r="10" ht="15" hidden="0" customHeight="1">
      <x:c r="A10" s="20" t="str">
        <x:v>M-G5</x:v>
      </x:c>
      <x:c r="B10" s="20" t="str">
        <x:v>1.6</x:v>
      </x:c>
      <x:c r="C10" s="20" t="str">
        <x:v>G5 Market engagement authority</x:v>
      </x:c>
      <x:c r="D10" s="20" t="str">
        <x:v>Sponsor / Procurement / Legal</x:v>
      </x:c>
      <x:c r="E10" s="22"/>
      <x:c r="F10" s="22"/>
      <x:c r="G10" s="20" t="str">
        <x:v>M-G4</x:v>
      </x:c>
      <x:c r="H10" s="20" t="str">
        <x:v>G5</x:v>
      </x:c>
      <x:c r="I10" s="20" t="str">
        <x:v>Roadmap and disclosure boundary approved</x:v>
      </x:c>
      <x:c r="J10" s="20" t="str">
        <x:v>Not Started</x:v>
      </x:c>
    </x:row>
    <x:row r="11" ht="15" hidden="0" customHeight="1">
      <x:c r="A11" s="19" t="str">
        <x:v>M-G6</x:v>
      </x:c>
      <x:c r="B11" s="19" t="str">
        <x:v>2.5</x:v>
      </x:c>
      <x:c r="C11" s="19" t="str">
        <x:v>G6 RFQ launch</x:v>
      </x:c>
      <x:c r="D11" s="19" t="str">
        <x:v>Procurement</x:v>
      </x:c>
      <x:c r="E11" s="21"/>
      <x:c r="F11" s="21"/>
      <x:c r="G11" s="19" t="str">
        <x:v>M-G5</x:v>
      </x:c>
      <x:c r="H11" s="19" t="str">
        <x:v>G6</x:v>
      </x:c>
      <x:c r="I11" s="19" t="str">
        <x:v>Bidder list, package and evaluation rules approved</x:v>
      </x:c>
      <x:c r="J11" s="19" t="str">
        <x:v>Not Started</x:v>
      </x:c>
    </x:row>
    <x:row r="12" ht="15" hidden="0" customHeight="1">
      <x:c r="A12" s="20" t="str">
        <x:v>M-G7</x:v>
      </x:c>
      <x:c r="B12" s="20" t="str">
        <x:v>2.6</x:v>
      </x:c>
      <x:c r="C12" s="20" t="str">
        <x:v>G7 Shortlist</x:v>
      </x:c>
      <x:c r="D12" s="20" t="str">
        <x:v>Decision body</x:v>
      </x:c>
      <x:c r="E12" s="22"/>
      <x:c r="F12" s="22"/>
      <x:c r="G12" s="20" t="str">
        <x:v>M-G6</x:v>
      </x:c>
      <x:c r="H12" s="20" t="str">
        <x:v>G7</x:v>
      </x:c>
      <x:c r="I12" s="20" t="str">
        <x:v>Shortlist and open DD approved</x:v>
      </x:c>
      <x:c r="J12" s="20" t="str">
        <x:v>Not Started</x:v>
      </x:c>
    </x:row>
    <x:row r="13" ht="15" hidden="0" customHeight="1">
      <x:c r="A13" s="19" t="str">
        <x:v>M-G8</x:v>
      </x:c>
      <x:c r="B13" s="19" t="str">
        <x:v>3.1</x:v>
      </x:c>
      <x:c r="C13" s="19" t="str">
        <x:v>G8 Negotiation mandate</x:v>
      </x:c>
      <x:c r="D13" s="19" t="str">
        <x:v>Authorized decision makers</x:v>
      </x:c>
      <x:c r="E13" s="21"/>
      <x:c r="F13" s="21"/>
      <x:c r="G13" s="19" t="str">
        <x:v>M-G7</x:v>
      </x:c>
      <x:c r="H13" s="19" t="str">
        <x:v>G8</x:v>
      </x:c>
      <x:c r="I13" s="19" t="str">
        <x:v>Objectives and authority approved</x:v>
      </x:c>
      <x:c r="J13" s="19" t="str">
        <x:v>Not Started</x:v>
      </x:c>
    </x:row>
    <x:row r="14" ht="15" hidden="0" customHeight="1">
      <x:c r="A14" s="20" t="str">
        <x:v>M-G9</x:v>
      </x:c>
      <x:c r="B14" s="20" t="str">
        <x:v>3.4</x:v>
      </x:c>
      <x:c r="C14" s="20" t="str">
        <x:v>G9 Preferred terms</x:v>
      </x:c>
      <x:c r="D14" s="20" t="str">
        <x:v>Approval body</x:v>
      </x:c>
      <x:c r="E14" s="22"/>
      <x:c r="F14" s="22"/>
      <x:c r="G14" s="20" t="str">
        <x:v>M-G8</x:v>
      </x:c>
      <x:c r="H14" s="20" t="str">
        <x:v>G9</x:v>
      </x:c>
      <x:c r="I14" s="20" t="str">
        <x:v>Residual risks and terms accepted</x:v>
      </x:c>
      <x:c r="J14" s="20" t="str">
        <x:v>Not Started</x:v>
      </x:c>
    </x:row>
    <x:row r="15" ht="15" hidden="0" customHeight="1">
      <x:c r="A15" s="19" t="str">
        <x:v>M-G10</x:v>
      </x:c>
      <x:c r="B15" s="19" t="str">
        <x:v>3.5</x:v>
      </x:c>
      <x:c r="C15" s="19" t="str">
        <x:v>G10 Signing readiness</x:v>
      </x:c>
      <x:c r="D15" s="19" t="str">
        <x:v>Contract owner</x:v>
      </x:c>
      <x:c r="E15" s="21"/>
      <x:c r="F15" s="21"/>
      <x:c r="G15" s="19" t="str">
        <x:v>M-G9</x:v>
      </x:c>
      <x:c r="H15" s="19" t="str">
        <x:v>G10</x:v>
      </x:c>
      <x:c r="I15" s="19" t="str">
        <x:v>Signing and implementation readiness confirmed</x:v>
      </x:c>
      <x:c r="J15" s="19" t="str">
        <x:v>Not Started</x:v>
      </x:c>
    </x:row>
    <x:row r="16" ht="15" hidden="0" customHeight="1">
      <x:c r="A16" s="20" t="str">
        <x:v>M-G11</x:v>
      </x:c>
      <x:c r="B16" s="20" t="str">
        <x:v>3.6</x:v>
      </x:c>
      <x:c r="C16" s="20" t="str">
        <x:v>G11 BAU transition</x:v>
      </x:c>
      <x:c r="D16" s="20" t="str">
        <x:v>Operations owner</x:v>
      </x:c>
      <x:c r="E16" s="22"/>
      <x:c r="F16" s="22"/>
      <x:c r="G16" s="20" t="str">
        <x:v>M-G10</x:v>
      </x:c>
      <x:c r="H16" s="20" t="str">
        <x:v>G11</x:v>
      </x:c>
      <x:c r="I16" s="20" t="str">
        <x:v>Governance and BAU handover accepted</x:v>
      </x:c>
      <x:c r="J16" s="20" t="str">
        <x:v>Not Started</x:v>
      </x:c>
    </x:row>
  </x:sheetData>
  <x:conditionalFormatting sqref="J5:J16">
    <x:cfRule type="containsText" dxfId="58" priority="1" operator="containsText" text="Blocked"/>
    <x:cfRule type="containsText" dxfId="59" priority="2" operator="containsText" text="Amber"/>
    <x:cfRule type="containsText" dxfId="60" priority="3" operator="containsText" text="QA Pass"/>
    <x:cfRule type="containsText" dxfId="61" priority="4" operator="containsText" text="Complete"/>
    <x:cfRule type="containsText" dxfId="62" priority="5" operator="containsText" text="Closed"/>
  </x:conditionalFormatting>
  <x:dataValidations count="1">
    <x:dataValidation type="list" sqref="J5:J16">
      <x:formula1>"Not Started,In Progress,Draft Complete,QA Pending,QA Pass,Blocked,Open,Closed,Complete,Deferred"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6ebc479c824089"/>
  </x:tableParts>
</x:worksheet>
</file>