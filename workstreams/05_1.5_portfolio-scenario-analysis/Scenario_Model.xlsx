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fbd7b9e2d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232825ef8924531"/>
    <x:sheet xmlns:r="http://schemas.openxmlformats.org/officeDocument/2006/relationships" name="Option Inputs" sheetId="2" r:id="R3d5d901f61c3452e"/>
    <x:sheet xmlns:r="http://schemas.openxmlformats.org/officeDocument/2006/relationships" name="Scenario Mix" sheetId="3" r:id="Recbeffea11554d9f"/>
    <x:sheet xmlns:r="http://schemas.openxmlformats.org/officeDocument/2006/relationships" name="Criteria Scores" sheetId="4" r:id="Rb5dc91238b884621"/>
    <x:sheet xmlns:r="http://schemas.openxmlformats.org/officeDocument/2006/relationships" name="Management Summary" sheetId="5" r:id="Rdbdc86ae4650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0.00"/>
  </x:numFmts>
  <x:fonts count="6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3" borderId="3" xfId="0" applyNumberFormat="1" applyFont="1" applyFill="1" applyBorder="1" applyAlignment="1">
      <x:alignment vertical="center" wrapText="1"/>
    </x:xf>
    <x:xf numFmtId="200" fontId="3" fillId="4" borderId="3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1" fontId="3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201" fontId="0" fillId="4" borderId="3" xfId="0" applyNumberFormat="1" applyFont="1" applyFill="1" applyBorder="1"/>
    <x:xf numFmtId="0" fontId="3" fillId="4" borderId="3" xfId="0" applyNumberFormat="1" applyFont="1" applyFill="1" applyBorder="1" applyAlignment="1">
      <x:alignment vertical="center" wrapText="1"/>
    </x:xf>
    <x:xf numFmtId="202" fontId="3" fillId="0" borderId="3" xfId="0" applyNumberFormat="1" applyFont="1" applyFill="1" applyBorder="1" applyAlignment="1">
      <x:alignment vertical="center" wrapText="1"/>
    </x:xf>
    <x:xf numFmtId="202" fontId="3" fillId="3" borderId="3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2" fillId="2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/>
    <x:xf numFmtId="201" fontId="5" fillId="4" borderId="3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vertical="center"/>
    </x:xf>
    <x:xf numFmtId="201" fontId="5" fillId="4" borderId="3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acaf0c74848ae" /><Relationship Type="http://schemas.openxmlformats.org/officeDocument/2006/relationships/theme" Target="/xl/theme/theme1.xml" Id="R9968dfd8cc8d47fb" /><Relationship Type="http://schemas.openxmlformats.org/officeDocument/2006/relationships/sharedStrings" Target="/xl/sharedStrings.xml" Id="Ra33a3e17bc8948e1" /><Relationship Type="http://schemas.openxmlformats.org/officeDocument/2006/relationships/worksheet" Target="/xl/worksheets/sheet1.xml" Id="R0232825ef8924531" /><Relationship Type="http://schemas.openxmlformats.org/officeDocument/2006/relationships/worksheet" Target="/xl/worksheets/sheet2.xml" Id="R3d5d901f61c3452e" /><Relationship Type="http://schemas.openxmlformats.org/officeDocument/2006/relationships/worksheet" Target="/xl/worksheets/sheet3.xml" Id="Recbeffea11554d9f" /><Relationship Type="http://schemas.openxmlformats.org/officeDocument/2006/relationships/worksheet" Target="/xl/worksheets/sheet4.xml" Id="Rb5dc91238b884621" /><Relationship Type="http://schemas.openxmlformats.org/officeDocument/2006/relationships/worksheet" Target="/xl/worksheets/sheet5.xml" Id="Rdbdc86ae465041f9" /></Relationships>
</file>

<file path=xl/tables/table1.xml><?xml version="1.0" encoding="utf-8"?>
<x:table xmlns:x="http://schemas.openxmlformats.org/spreadsheetml/2006/main" id="1" name="ScenarioOptionTable" displayName="ScenarioOptionTable" ref="A4:L8" headerRowCount="1" totalsRowCount="0" totalsRowShown="0">
  <x:autoFilter ref="A4:L8"/>
  <x:tableColumns count="12">
    <x:tableColumn id="1" name="Option"/>
    <x:tableColumn id="2" name="Comparable cost NTD/MWh"/>
    <x:tableColumn id="3" name="Start / lead time"/>
    <x:tableColumn id="4" name="Tenor"/>
    <x:tableColumn id="5" name="Technology / source"/>
    <x:tableColumn id="6" name="Flexibility"/>
    <x:tableColumn id="7" name="Execution risk 1–5"/>
    <x:tableColumn id="8" name="Market risk 1–5"/>
    <x:tableColumn id="9" name="Dependency"/>
    <x:tableColumn id="10" name="Evidence needed"/>
    <x:tableColumn id="11" name="Truth statu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MixTable" displayName="ScenarioMixTable" ref="A4:O13" headerRowCount="1" totalsRowCount="0" totalsRowShown="0">
  <x:autoFilter ref="A4:O13"/>
  <x:tableColumns count="15">
    <x:tableColumn id="1" name="Scenario"/>
    <x:tableColumn id="2" name="Year"/>
    <x:tableColumn id="3" name="Approved gap MWh"/>
    <x:tableColumn id="4" name="Onsite MWh"/>
    <x:tableColumn id="5" name="Short-term MWh"/>
    <x:tableColumn id="6" name="Retailer MWh"/>
    <x:tableColumn id="7" name="Long-term MWh"/>
    <x:tableColumn id="8" name="Total procured MWh"/>
    <x:tableColumn id="9" name="Coverage %"/>
    <x:tableColumn id="10" name="Annual cost NTD"/>
    <x:tableColumn id="11" name="Weighted NTD/MWh"/>
    <x:tableColumn id="12" name="Largest-option concentration"/>
    <x:tableColumn id="13" name="Hard constraint"/>
    <x:tableColumn id="14" name="Truth status"/>
    <x:tableColumn id="1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arioScoreTable" displayName="ScenarioScoreTable" ref="A8:J11" headerRowCount="1" totalsRowCount="0" totalsRowShown="0">
  <x:autoFilter ref="A8:J11"/>
  <x:tableColumns count="10">
    <x:tableColumn id="1" name="Scenario"/>
    <x:tableColumn id="2" name="Volume / timing"/>
    <x:tableColumn id="3" name="Cost"/>
    <x:tableColumn id="4" name="Flexibility"/>
    <x:tableColumn id="5" name="Execution"/>
    <x:tableColumn id="6" name="Concentration"/>
    <x:tableColumn id="7" name="Dependency"/>
    <x:tableColumn id="8" name="Claim relevance"/>
    <x:tableColumn id="9" name="Weighted score"/>
    <x:tableColumn id="10" name="Truth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rtfolioSummaryTable" displayName="PortfolioSummaryTable" ref="A4:I7" headerRowCount="1" totalsRowCount="0" totalsRowShown="0">
  <x:autoFilter ref="A4:I7"/>
  <x:tableColumns count="9">
    <x:tableColumn id="1" name="Scenario"/>
    <x:tableColumn id="2" name="3-year gap MWh"/>
    <x:tableColumn id="3" name="3-year procured MWh"/>
    <x:tableColumn id="4" name="3-year cost NTD"/>
    <x:tableColumn id="5" name="Weighted NTD/MWh"/>
    <x:tableColumn id="6" name="Average concentration"/>
    <x:tableColumn id="7" name="Criteria score"/>
    <x:tableColumn id="8" name="Preliminary status"/>
    <x:tableColumn id="9" name="Truth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4DecisionTable" displayName="G4DecisionTable" ref="A10:E14" headerRowCount="1" totalsRowCount="0" totalsRowShown="0">
  <x:autoFilter ref="A10:E14"/>
  <x:tableColumns count="5">
    <x:tableColumn id="1" name="G4 decision"/>
    <x:tableColumn id="2" name="Required confirmation"/>
    <x:tableColumn id="3" name="Owner"/>
    <x:tableColumn id="4" name="Status"/>
    <x:tableColumn id="5" name="Downstrea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bc6c47720c4d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954203f15743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ffca78e8c845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620a0533164583" /><Relationship Type="http://schemas.openxmlformats.org/officeDocument/2006/relationships/table" Target="/xl/tables/table5.xml" Id="R26ad7240ed5e49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26" hidden="0" customWidth="1"/>
    <x:col min="4" max="4" width="30" hidden="0" customWidth="1"/>
    <x:col min="5" max="5" width="34" hidden="0" customWidth="1"/>
    <x:col min="6" max="6" width="34" hidden="0" customWidth="1"/>
  </x:cols>
  <x:sheetData>
    <x:row r="1" ht="8" customHeight="1"/>
    <x:row r="2" ht="15" hidden="0" customHeight="1">
      <x:c r="A2" s="32" t="str">
        <x:v>Procurement portfolio scenario model — v0.1</x:v>
      </x:c>
      <x:c r="B2" s="33"/>
      <x:c r="C2" s="33"/>
      <x:c r="D2" s="33"/>
      <x:c r="E2" s="33"/>
      <x:c r="F2" s="33"/>
    </x:row>
    <x:row r="3" ht="15" hidden="0" customHeight="1">
      <x:c r="A3" s="34"/>
      <x:c r="B3" s="34"/>
      <x:c r="C3" s="34"/>
      <x:c r="D3" s="34"/>
      <x:c r="E3" s="34"/>
      <x:c r="F3" s="34"/>
    </x:row>
    <x:row r="4" ht="15" hidden="0" customHeight="1">
      <x:c r="A4" s="37" t="str">
        <x:v>Rule</x:v>
      </x:c>
      <x:c r="B4" s="37" t="str">
        <x:v>Required practice</x:v>
      </x:c>
      <x:c r="C4" s="37" t="str">
        <x:v>Truth status</x:v>
      </x:c>
      <x:c r="D4" s="37" t="str">
        <x:v>Owner</x:v>
      </x:c>
      <x:c r="E4" s="37" t="str">
        <x:v>Decision effect</x:v>
      </x:c>
      <x:c r="F4" s="37" t="str">
        <x:v>Current v0.1</x:v>
      </x:c>
    </x:row>
    <x:row r="5" ht="15" hidden="0" customHeight="1">
      <x:c r="A5" s="38" t="str">
        <x:v>Gap</x:v>
      </x:c>
      <x:c r="B5" s="38" t="str">
        <x:v>Use G3-approved 1.4 gap / range</x:v>
      </x:c>
      <x:c r="C5" s="38" t="str">
        <x:v>SYNTHETIC / DEMO DATA</x:v>
      </x:c>
      <x:c r="D5" s="38" t="str">
        <x:v>Analysis Lead</x:v>
      </x:c>
      <x:c r="E5" s="38" t="str">
        <x:v>Controls volume need</x:v>
      </x:c>
      <x:c r="F5" s="38" t="str">
        <x:v>2028–2030 demo values</x:v>
      </x:c>
    </x:row>
    <x:row r="6" ht="15" hidden="0" customHeight="1">
      <x:c r="A6" s="38" t="str">
        <x:v>Cost</x:v>
      </x:c>
      <x:c r="B6" s="38" t="str">
        <x:v>Normalize included components and validity</x:v>
      </x:c>
      <x:c r="C6" s="38" t="str">
        <x:v>SYNTHETIC / DEMO DATA</x:v>
      </x:c>
      <x:c r="D6" s="38" t="str">
        <x:v>Finance / Procurement — TBD</x:v>
      </x:c>
      <x:c r="E6" s="38" t="str">
        <x:v>Controls comparison</x:v>
      </x:c>
      <x:c r="F6" s="38" t="str">
        <x:v>Not market quotes</x:v>
      </x:c>
    </x:row>
    <x:row r="7" ht="15" hidden="0" customHeight="1">
      <x:c r="A7" s="38" t="str">
        <x:v>Criteria</x:v>
      </x:c>
      <x:c r="B7" s="38" t="str">
        <x:v>Define anchors, weights and hard constraints</x:v>
      </x:c>
      <x:c r="C7" s="38" t="str">
        <x:v>TBD WITH CLIENT</x:v>
      </x:c>
      <x:c r="D7" s="38" t="str">
        <x:v>G4 decision body</x:v>
      </x:c>
      <x:c r="E7" s="38" t="str">
        <x:v>Controls judgement</x:v>
      </x:c>
      <x:c r="F7" s="38" t="str">
        <x:v>Illustrative weights</x:v>
      </x:c>
    </x:row>
    <x:row r="8" ht="15" hidden="0" customHeight="1">
      <x:c r="A8" s="38" t="str">
        <x:v>Scenario</x:v>
      </x:c>
      <x:c r="B8" s="38" t="str">
        <x:v>Make archetypes materially different</x:v>
      </x:c>
      <x:c r="C8" s="38" t="str">
        <x:v>HYPOTHESIS</x:v>
      </x:c>
      <x:c r="D8" s="38" t="str">
        <x:v>Analysis Lead</x:v>
      </x:c>
      <x:c r="E8" s="38" t="str">
        <x:v>Creates real choices</x:v>
      </x:c>
      <x:c r="F8" s="38" t="str">
        <x:v>Balanced / Speed / Long-term</x:v>
      </x:c>
    </x:row>
    <x:row r="9" ht="15" hidden="0" customHeight="1">
      <x:c r="A9" s="38" t="str">
        <x:v>Approval</x:v>
      </x:c>
      <x:c r="B9" s="38" t="str">
        <x:v>Record G4 outcome and conditions</x:v>
      </x:c>
      <x:c r="C9" s="38" t="str">
        <x:v>TBD WITH CLIENT</x:v>
      </x:c>
      <x:c r="D9" s="38" t="str">
        <x:v>Sponsor / steering — TBD</x:v>
      </x:c>
      <x:c r="E9" s="38" t="str">
        <x:v>Authorizes roadmap</x:v>
      </x:c>
      <x:c r="F9" s="38" t="str">
        <x:v>No client approval yet</x:v>
      </x:c>
    </x:row>
    <x:row r="10" ht="15" hidden="0" customHeight="1">
      <x:c r="A10" s="33"/>
      <x:c r="B10" s="33"/>
      <x:c r="C10" s="33"/>
      <x:c r="D10" s="33"/>
      <x:c r="E10" s="33"/>
      <x:c r="F10" s="33"/>
    </x:row>
    <x:row r="11" ht="15" hidden="0" customHeight="1">
      <x:c r="A11" s="33"/>
      <x:c r="B11" s="33"/>
      <x:c r="C11" s="33"/>
      <x:c r="D11" s="33"/>
      <x:c r="E11" s="33"/>
      <x:c r="F11" s="33"/>
    </x:row>
    <x:row r="12" ht="15" hidden="0" customHeight="1">
      <x:c r="A12" s="39" t="str">
        <x:v>Refresh sequence</x:v>
      </x:c>
      <x:c r="B12" s="39" t="str"/>
      <x:c r="C12" s="33"/>
      <x:c r="D12" s="33"/>
      <x:c r="E12" s="33"/>
      <x:c r="F12" s="33"/>
    </x:row>
    <x:row r="13" ht="15" hidden="0" customHeight="1">
      <x:c r="A13" s="33" t="str">
        <x:v>1</x:v>
      </x:c>
      <x:c r="B13" s="33" t="str">
        <x:v>Approve 1.4 gap / range</x:v>
      </x:c>
      <x:c r="C13" s="33"/>
      <x:c r="D13" s="33"/>
      <x:c r="E13" s="33"/>
      <x:c r="F13" s="33"/>
    </x:row>
    <x:row r="14" ht="15" hidden="0" customHeight="1">
      <x:c r="A14" s="33" t="str">
        <x:v>2</x:v>
      </x:c>
      <x:c r="B14" s="33" t="str">
        <x:v>Replace demo option evidence and costs</x:v>
      </x:c>
      <x:c r="C14" s="33"/>
      <x:c r="D14" s="33"/>
      <x:c r="E14" s="33"/>
      <x:c r="F14" s="33"/>
    </x:row>
    <x:row r="15" ht="15" hidden="0" customHeight="1">
      <x:c r="A15" s="33" t="str">
        <x:v>3</x:v>
      </x:c>
      <x:c r="B15" s="33" t="str">
        <x:v>Confirm criteria / weights / hard constraints</x:v>
      </x:c>
      <x:c r="C15" s="33"/>
      <x:c r="D15" s="33"/>
      <x:c r="E15" s="33"/>
      <x:c r="F15" s="33"/>
    </x:row>
    <x:row r="16" ht="15" hidden="0" customHeight="1">
      <x:c r="A16" s="33" t="str">
        <x:v>4</x:v>
      </x:c>
      <x:c r="B16" s="33" t="str">
        <x:v>Recalculate and test sensitivities</x:v>
      </x:c>
      <x:c r="C16" s="33"/>
      <x:c r="D16" s="33"/>
      <x:c r="E16" s="33"/>
      <x:c r="F16" s="33"/>
    </x:row>
    <x:row r="17" ht="15" hidden="0" customHeight="1">
      <x:c r="A17" s="33" t="str">
        <x:v>5</x:v>
      </x:c>
      <x:c r="B17" s="33" t="str">
        <x:v>Record G4 decision and roadmap handoff</x:v>
      </x:c>
      <x:c r="C17" s="33"/>
      <x:c r="D17" s="33"/>
      <x:c r="E17" s="33"/>
      <x:c r="F17" s="3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18" hidden="0" customWidth="1"/>
    <x:col min="5" max="5" width="24" hidden="0" customWidth="1"/>
    <x:col min="6" max="6" width="16" hidden="0" customWidth="1"/>
    <x:col min="7" max="7" width="20" hidden="0" customWidth="1"/>
    <x:col min="8" max="8" width="18" hidden="0" customWidth="1"/>
    <x:col min="9" max="9" width="34" hidden="0" customWidth="1"/>
    <x:col min="10" max="10" width="32" hidden="0" customWidth="1"/>
    <x:col min="11" max="11" width="26" hidden="0" customWidth="1"/>
    <x:col min="12" max="12" width="28" hidden="0" customWidth="1"/>
  </x:cols>
  <x:sheetData>
    <x:row r="1" ht="8" customHeight="1"/>
    <x:row r="2" ht="15" hidden="0" customHeight="1">
      <x:c r="A2" s="32" t="str">
        <x:v>Synthetic option catalogue and comparable cost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 ht="15" hidden="0" customHeight="1">
      <x:c r="A4" s="13" t="str">
        <x:v>Option</x:v>
      </x:c>
      <x:c r="B4" s="13" t="str">
        <x:v>Comparable cost NTD/MWh</x:v>
      </x:c>
      <x:c r="C4" s="13" t="str">
        <x:v>Start / lead time</x:v>
      </x:c>
      <x:c r="D4" s="13" t="str">
        <x:v>Tenor</x:v>
      </x:c>
      <x:c r="E4" s="13" t="str">
        <x:v>Technology / source</x:v>
      </x:c>
      <x:c r="F4" s="13" t="str">
        <x:v>Flexibility</x:v>
      </x:c>
      <x:c r="G4" s="13" t="str">
        <x:v>Execution risk 1–5</x:v>
      </x:c>
      <x:c r="H4" s="13" t="str">
        <x:v>Market risk 1–5</x:v>
      </x:c>
      <x:c r="I4" s="13" t="str">
        <x:v>Dependency</x:v>
      </x:c>
      <x:c r="J4" s="13" t="str">
        <x:v>Evidence needed</x:v>
      </x:c>
      <x:c r="K4" s="13" t="str">
        <x:v>Truth status</x:v>
      </x:c>
      <x:c r="L4" s="13" t="str">
        <x:v>Notes</x:v>
      </x:c>
    </x:row>
    <x:row r="5" ht="15" hidden="0" customHeight="1">
      <x:c r="A5" s="17" t="str">
        <x:v>Onsite</x:v>
      </x:c>
      <x:c r="B5" s="21" t="n">
        <x:v>3000</x:v>
      </x:c>
      <x:c r="C5" s="17" t="str">
        <x:v>Site-dependent</x:v>
      </x:c>
      <x:c r="D5" s="17" t="str">
        <x:v>TBD</x:v>
      </x:c>
      <x:c r="E5" s="17" t="str">
        <x:v>Solar / TBD</x:v>
      </x:c>
      <x:c r="F5" s="17" t="str">
        <x:v>Medium</x:v>
      </x:c>
      <x:c r="G5" s="17" t="n">
        <x:v>3</x:v>
      </x:c>
      <x:c r="H5" s="17" t="n">
        <x:v>2</x:v>
      </x:c>
      <x:c r="I5" s="17" t="str">
        <x:v>Site / EPC / meter</x:v>
      </x:c>
      <x:c r="J5" s="17" t="str">
        <x:v>Site feasibility + cost</x:v>
      </x:c>
      <x:c r="K5" s="17" t="str">
        <x:v>SYNTHETIC / DEMO DATA</x:v>
      </x:c>
      <x:c r="L5" s="17" t="str">
        <x:v>Not AMAT feasibility</x:v>
      </x:c>
    </x:row>
    <x:row r="6" ht="15" hidden="0" customHeight="1">
      <x:c r="A6" s="18" t="str">
        <x:v>Short-term certificates</x:v>
      </x:c>
      <x:c r="B6" s="21" t="n">
        <x:v>4500</x:v>
      </x:c>
      <x:c r="C6" s="18" t="str">
        <x:v>Potentially shorter</x:v>
      </x:c>
      <x:c r="D6" s="18" t="str">
        <x:v>1–3y demo</x:v>
      </x:c>
      <x:c r="E6" s="18" t="str">
        <x:v>T-REC / TBD</x:v>
      </x:c>
      <x:c r="F6" s="18" t="str">
        <x:v>High</x:v>
      </x:c>
      <x:c r="G6" s="18" t="n">
        <x:v>2</x:v>
      </x:c>
      <x:c r="H6" s="18" t="n">
        <x:v>4</x:v>
      </x:c>
      <x:c r="I6" s="18" t="str">
        <x:v>Availability + policy</x:v>
      </x:c>
      <x:c r="J6" s="18" t="str">
        <x:v>Eligibility + quote</x:v>
      </x:c>
      <x:c r="K6" s="18" t="str">
        <x:v>SYNTHETIC / DEMO DATA</x:v>
      </x:c>
      <x:c r="L6" s="18" t="str">
        <x:v>Not market price</x:v>
      </x:c>
    </x:row>
    <x:row r="7" ht="15" hidden="0" customHeight="1">
      <x:c r="A7" s="17" t="str">
        <x:v>Retailer-enabled</x:v>
      </x:c>
      <x:c r="B7" s="21" t="n">
        <x:v>3800</x:v>
      </x:c>
      <x:c r="C7" s="17" t="str">
        <x:v>Medium</x:v>
      </x:c>
      <x:c r="D7" s="17" t="str">
        <x:v>3–5y demo</x:v>
      </x:c>
      <x:c r="E7" s="17" t="str">
        <x:v>Portfolio / TBD</x:v>
      </x:c>
      <x:c r="F7" s="17" t="str">
        <x:v>Medium</x:v>
      </x:c>
      <x:c r="G7" s="17" t="n">
        <x:v>3</x:v>
      </x:c>
      <x:c r="H7" s="17" t="n">
        <x:v>3</x:v>
      </x:c>
      <x:c r="I7" s="17" t="str">
        <x:v>Retailer + supply</x:v>
      </x:c>
      <x:c r="J7" s="17" t="str">
        <x:v>Proposal + terms</x:v>
      </x:c>
      <x:c r="K7" s="17" t="str">
        <x:v>SYNTHETIC / DEMO DATA</x:v>
      </x:c>
      <x:c r="L7" s="17" t="str">
        <x:v>Not market price</x:v>
      </x:c>
    </x:row>
    <x:row r="8" ht="15" hidden="0" customHeight="1">
      <x:c r="A8" s="18" t="str">
        <x:v>Long-term offsite</x:v>
      </x:c>
      <x:c r="B8" s="21" t="n">
        <x:v>3200</x:v>
      </x:c>
      <x:c r="C8" s="18" t="str">
        <x:v>COD-dependent</x:v>
      </x:c>
      <x:c r="D8" s="18" t="str">
        <x:v>10–20y demo</x:v>
      </x:c>
      <x:c r="E8" s="18" t="str">
        <x:v>Project / TBD</x:v>
      </x:c>
      <x:c r="F8" s="18" t="str">
        <x:v>Low</x:v>
      </x:c>
      <x:c r="G8" s="18" t="n">
        <x:v>5</x:v>
      </x:c>
      <x:c r="H8" s="18" t="n">
        <x:v>3</x:v>
      </x:c>
      <x:c r="I8" s="18" t="str">
        <x:v>Project + wheeling + credit</x:v>
      </x:c>
      <x:c r="J8" s="18" t="str">
        <x:v>Maturity + term sheet</x:v>
      </x:c>
      <x:c r="K8" s="18" t="str">
        <x:v>SYNTHETIC / DEMO DATA</x:v>
      </x:c>
      <x:c r="L8" s="18" t="str">
        <x:v>Not market price</x:v>
      </x:c>
    </x:row>
  </x:sheetData>
  <x:pageMargins left="0.7" right="0.7" top="0.75" bottom="0.75" header="0.3" footer="0.3"/>
  <x:tableParts count="1">
    <x:tablePart xmlns:r="http://schemas.openxmlformats.org/officeDocument/2006/relationships" r:id="R04bc6c47720c4d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18" hidden="0" customWidth="1"/>
    <x:col min="5" max="5" width="20" hidden="0" customWidth="1"/>
    <x:col min="6" max="6" width="18" hidden="0" customWidth="1"/>
    <x:col min="7" max="7" width="20" hidden="0" customWidth="1"/>
    <x:col min="8" max="8" width="22" hidden="0" customWidth="1"/>
    <x:col min="9" max="9" width="16" hidden="0" customWidth="1"/>
    <x:col min="10" max="10" width="24" hidden="0" customWidth="1"/>
    <x:col min="11" max="11" width="22" hidden="0" customWidth="1"/>
    <x:col min="12" max="12" width="26" hidden="0" customWidth="1"/>
    <x:col min="13" max="13" width="18" hidden="0" customWidth="1"/>
    <x:col min="14" max="14" width="26" hidden="0" customWidth="1"/>
    <x:col min="15" max="15" width="30" hidden="0" customWidth="1"/>
  </x:cols>
  <x:sheetData>
    <x:row r="1" ht="8" customHeight="1"/>
    <x:row r="2" ht="15" hidden="0" customHeight="1">
      <x:c r="A2" s="32" t="str">
        <x:v>Synthetic scenario-year portfolio mix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</x:row>
    <x:row r="4" ht="15" hidden="0" customHeight="1">
      <x:c r="A4" s="13" t="str">
        <x:v>Scenario</x:v>
      </x:c>
      <x:c r="B4" s="13" t="str">
        <x:v>Year</x:v>
      </x:c>
      <x:c r="C4" s="13" t="str">
        <x:v>Approved gap MWh</x:v>
      </x:c>
      <x:c r="D4" s="13" t="str">
        <x:v>Onsite MWh</x:v>
      </x:c>
      <x:c r="E4" s="13" t="str">
        <x:v>Short-term MWh</x:v>
      </x:c>
      <x:c r="F4" s="13" t="str">
        <x:v>Retailer MWh</x:v>
      </x:c>
      <x:c r="G4" s="13" t="str">
        <x:v>Long-term MWh</x:v>
      </x:c>
      <x:c r="H4" s="13" t="str">
        <x:v>Total procured MWh</x:v>
      </x:c>
      <x:c r="I4" s="13" t="str">
        <x:v>Coverage %</x:v>
      </x:c>
      <x:c r="J4" s="13" t="str">
        <x:v>Annual cost NTD</x:v>
      </x:c>
      <x:c r="K4" s="13" t="str">
        <x:v>Weighted NTD/MWh</x:v>
      </x:c>
      <x:c r="L4" s="13" t="str">
        <x:v>Largest-option concentration</x:v>
      </x:c>
      <x:c r="M4" s="13" t="str">
        <x:v>Hard constraint</x:v>
      </x:c>
      <x:c r="N4" s="13" t="str">
        <x:v>Truth status</x:v>
      </x:c>
      <x:c r="O4" s="13" t="str">
        <x:v>Notes</x:v>
      </x:c>
    </x:row>
    <x:row r="5" ht="15" hidden="0" customHeight="1">
      <x:c r="A5" s="17" t="str">
        <x:v>Balanced</x:v>
      </x:c>
      <x:c r="B5" s="17" t="n">
        <x:v>2028</x:v>
      </x:c>
      <x:c r="C5" s="21" t="n">
        <x:v>52750</x:v>
      </x:c>
      <x:c r="D5" s="21" t="n">
        <x:v>5000</x:v>
      </x:c>
      <x:c r="E5" s="21" t="n">
        <x:v>7750</x:v>
      </x:c>
      <x:c r="F5" s="21" t="n">
        <x:v>15000</x:v>
      </x:c>
      <x:c r="G5" s="21" t="n">
        <x:v>25000</x:v>
      </x:c>
      <x:c r="H5" s="19" t="n">
        <x:f>SUM(D5:G5)</x:f>
        <x:v>52750</x:v>
      </x:c>
      <x:c r="I5" s="22" t="n">
        <x:f>IF(C5=0,0,MIN(H5/C5,1))</x:f>
        <x:v>1</x:v>
      </x:c>
      <x:c r="J5" s="19" t="n">
        <x:f>D5*'Option Inputs'!$B$5+E5*'Option Inputs'!$B$6+F5*'Option Inputs'!$B$7+G5*'Option Inputs'!$B$8</x:f>
        <x:v>186875000</x:v>
      </x:c>
      <x:c r="K5" s="19" t="n">
        <x:f>IF(H5=0,0,J5/H5)</x:f>
        <x:v>3542.654028436019</x:v>
      </x:c>
      <x:c r="L5" s="22" t="n">
        <x:f>IF(H5=0,0,MAX(D5:G5)/H5)</x:f>
        <x:v>0.47393364928909953</x:v>
      </x:c>
      <x:c r="M5" s="17" t="str">
        <x:f>IF(I5&lt;1,"FAIL","PASS")</x:f>
        <x:v>PASS</x:v>
      </x:c>
      <x:c r="N5" s="17" t="str">
        <x:v>SYNTHETIC / DEMO DATA</x:v>
      </x:c>
      <x:c r="O5" s="17" t="str">
        <x:v>Diversified demo</x:v>
      </x:c>
    </x:row>
    <x:row r="6" ht="15" hidden="0" customHeight="1">
      <x:c r="A6" s="18" t="str">
        <x:v>Speed / Flexibility</x:v>
      </x:c>
      <x:c r="B6" s="18" t="n">
        <x:v>2028</x:v>
      </x:c>
      <x:c r="C6" s="21" t="n">
        <x:v>52750</x:v>
      </x:c>
      <x:c r="D6" s="21" t="n">
        <x:v>3000</x:v>
      </x:c>
      <x:c r="E6" s="21" t="n">
        <x:v>19750</x:v>
      </x:c>
      <x:c r="F6" s="21" t="n">
        <x:v>20000</x:v>
      </x:c>
      <x:c r="G6" s="21" t="n">
        <x:v>10000</x:v>
      </x:c>
      <x:c r="H6" s="20" t="n">
        <x:f>SUM(D6:G6)</x:f>
        <x:v>52750</x:v>
      </x:c>
      <x:c r="I6" s="23" t="n">
        <x:f>IF(C6=0,0,MIN(H6/C6,1))</x:f>
        <x:v>1</x:v>
      </x:c>
      <x:c r="J6" s="20" t="n">
        <x:f>D6*'Option Inputs'!$B$5+E6*'Option Inputs'!$B$6+F6*'Option Inputs'!$B$7+G6*'Option Inputs'!$B$8</x:f>
        <x:v>205875000</x:v>
      </x:c>
      <x:c r="K6" s="20" t="n">
        <x:f>IF(H6=0,0,J6/H6)</x:f>
        <x:v>3902.8436018957345</x:v>
      </x:c>
      <x:c r="L6" s="23" t="n">
        <x:f>IF(H6=0,0,MAX(D6:G6)/H6)</x:f>
        <x:v>0.3791469194312796</x:v>
      </x:c>
      <x:c r="M6" s="18" t="str">
        <x:f>IF(I6&lt;1,"FAIL","PASS")</x:f>
        <x:v>PASS</x:v>
      </x:c>
      <x:c r="N6" s="18" t="str">
        <x:v>SYNTHETIC / DEMO DATA</x:v>
      </x:c>
      <x:c r="O6" s="18" t="str">
        <x:v>Higher short-term share</x:v>
      </x:c>
    </x:row>
    <x:row r="7" ht="15" hidden="0" customHeight="1">
      <x:c r="A7" s="17" t="str">
        <x:v>Long-term Core</x:v>
      </x:c>
      <x:c r="B7" s="17" t="n">
        <x:v>2028</x:v>
      </x:c>
      <x:c r="C7" s="21" t="n">
        <x:v>52750</x:v>
      </x:c>
      <x:c r="D7" s="21" t="n">
        <x:v>5000</x:v>
      </x:c>
      <x:c r="E7" s="21" t="n">
        <x:v>2750</x:v>
      </x:c>
      <x:c r="F7" s="21" t="n">
        <x:v>10000</x:v>
      </x:c>
      <x:c r="G7" s="21" t="n">
        <x:v>35000</x:v>
      </x:c>
      <x:c r="H7" s="19" t="n">
        <x:f>SUM(D7:G7)</x:f>
        <x:v>52750</x:v>
      </x:c>
      <x:c r="I7" s="22" t="n">
        <x:f>IF(C7=0,0,MIN(H7/C7,1))</x:f>
        <x:v>1</x:v>
      </x:c>
      <x:c r="J7" s="19" t="n">
        <x:f>D7*'Option Inputs'!$B$5+E7*'Option Inputs'!$B$6+F7*'Option Inputs'!$B$7+G7*'Option Inputs'!$B$8</x:f>
        <x:v>177375000</x:v>
      </x:c>
      <x:c r="K7" s="19" t="n">
        <x:f>IF(H7=0,0,J7/H7)</x:f>
        <x:v>3362.559241706161</x:v>
      </x:c>
      <x:c r="L7" s="22" t="n">
        <x:f>IF(H7=0,0,MAX(D7:G7)/H7)</x:f>
        <x:v>0.6635071090047393</x:v>
      </x:c>
      <x:c r="M7" s="17" t="str">
        <x:f>IF(I7&lt;1,"FAIL","PASS")</x:f>
        <x:v>PASS</x:v>
      </x:c>
      <x:c r="N7" s="17" t="str">
        <x:v>SYNTHETIC / DEMO DATA</x:v>
      </x:c>
      <x:c r="O7" s="17" t="str">
        <x:v>Higher long-term concentration</x:v>
      </x:c>
    </x:row>
    <x:row r="8" ht="15" hidden="0" customHeight="1">
      <x:c r="A8" s="18" t="str">
        <x:v>Balanced</x:v>
      </x:c>
      <x:c r="B8" s="18" t="n">
        <x:v>2029</x:v>
      </x:c>
      <x:c r="C8" s="21" t="n">
        <x:v>51100</x:v>
      </x:c>
      <x:c r="D8" s="21" t="n">
        <x:v>5000</x:v>
      </x:c>
      <x:c r="E8" s="21" t="n">
        <x:v>6100</x:v>
      </x:c>
      <x:c r="F8" s="21" t="n">
        <x:v>15000</x:v>
      </x:c>
      <x:c r="G8" s="21" t="n">
        <x:v>25000</x:v>
      </x:c>
      <x:c r="H8" s="20" t="n">
        <x:f>SUM(D8:G8)</x:f>
        <x:v>51100</x:v>
      </x:c>
      <x:c r="I8" s="23" t="n">
        <x:f>IF(C8=0,0,MIN(H8/C8,1))</x:f>
        <x:v>1</x:v>
      </x:c>
      <x:c r="J8" s="20" t="n">
        <x:f>D8*'Option Inputs'!$B$5+E8*'Option Inputs'!$B$6+F8*'Option Inputs'!$B$7+G8*'Option Inputs'!$B$8</x:f>
        <x:v>179450000</x:v>
      </x:c>
      <x:c r="K8" s="20" t="n">
        <x:f>IF(H8=0,0,J8/H8)</x:f>
        <x:v>3511.74168297456</x:v>
      </x:c>
      <x:c r="L8" s="23" t="n">
        <x:f>IF(H8=0,0,MAX(D8:G8)/H8)</x:f>
        <x:v>0.4892367906066536</x:v>
      </x:c>
      <x:c r="M8" s="18" t="str">
        <x:f>IF(I8&lt;1,"FAIL","PASS")</x:f>
        <x:v>PASS</x:v>
      </x:c>
      <x:c r="N8" s="18" t="str">
        <x:v>SYNTHETIC / DEMO DATA</x:v>
      </x:c>
      <x:c r="O8" s="18" t="str">
        <x:v>Diversified demo</x:v>
      </x:c>
    </x:row>
    <x:row r="9" ht="15" hidden="0" customHeight="1">
      <x:c r="A9" s="17" t="str">
        <x:v>Speed / Flexibility</x:v>
      </x:c>
      <x:c r="B9" s="17" t="n">
        <x:v>2029</x:v>
      </x:c>
      <x:c r="C9" s="21" t="n">
        <x:v>51100</x:v>
      </x:c>
      <x:c r="D9" s="21" t="n">
        <x:v>3000</x:v>
      </x:c>
      <x:c r="E9" s="21" t="n">
        <x:v>18100</x:v>
      </x:c>
      <x:c r="F9" s="21" t="n">
        <x:v>20000</x:v>
      </x:c>
      <x:c r="G9" s="21" t="n">
        <x:v>10000</x:v>
      </x:c>
      <x:c r="H9" s="19" t="n">
        <x:f>SUM(D9:G9)</x:f>
        <x:v>51100</x:v>
      </x:c>
      <x:c r="I9" s="22" t="n">
        <x:f>IF(C9=0,0,MIN(H9/C9,1))</x:f>
        <x:v>1</x:v>
      </x:c>
      <x:c r="J9" s="19" t="n">
        <x:f>D9*'Option Inputs'!$B$5+E9*'Option Inputs'!$B$6+F9*'Option Inputs'!$B$7+G9*'Option Inputs'!$B$8</x:f>
        <x:v>198450000</x:v>
      </x:c>
      <x:c r="K9" s="19" t="n">
        <x:f>IF(H9=0,0,J9/H9)</x:f>
        <x:v>3883.5616438356165</x:v>
      </x:c>
      <x:c r="L9" s="22" t="n">
        <x:f>IF(H9=0,0,MAX(D9:G9)/H9)</x:f>
        <x:v>0.3913894324853229</x:v>
      </x:c>
      <x:c r="M9" s="17" t="str">
        <x:f>IF(I9&lt;1,"FAIL","PASS")</x:f>
        <x:v>PASS</x:v>
      </x:c>
      <x:c r="N9" s="17" t="str">
        <x:v>SYNTHETIC / DEMO DATA</x:v>
      </x:c>
      <x:c r="O9" s="17" t="str">
        <x:v>Higher short-term share</x:v>
      </x:c>
    </x:row>
    <x:row r="10" ht="15" hidden="0" customHeight="1">
      <x:c r="A10" s="18" t="str">
        <x:v>Long-term Core</x:v>
      </x:c>
      <x:c r="B10" s="18" t="n">
        <x:v>2029</x:v>
      </x:c>
      <x:c r="C10" s="21" t="n">
        <x:v>51100</x:v>
      </x:c>
      <x:c r="D10" s="21" t="n">
        <x:v>5000</x:v>
      </x:c>
      <x:c r="E10" s="21" t="n">
        <x:v>1100</x:v>
      </x:c>
      <x:c r="F10" s="21" t="n">
        <x:v>10000</x:v>
      </x:c>
      <x:c r="G10" s="21" t="n">
        <x:v>35000</x:v>
      </x:c>
      <x:c r="H10" s="20" t="n">
        <x:f>SUM(D10:G10)</x:f>
        <x:v>51100</x:v>
      </x:c>
      <x:c r="I10" s="23" t="n">
        <x:f>IF(C10=0,0,MIN(H10/C10,1))</x:f>
        <x:v>1</x:v>
      </x:c>
      <x:c r="J10" s="20" t="n">
        <x:f>D10*'Option Inputs'!$B$5+E10*'Option Inputs'!$B$6+F10*'Option Inputs'!$B$7+G10*'Option Inputs'!$B$8</x:f>
        <x:v>169950000</x:v>
      </x:c>
      <x:c r="K10" s="20" t="n">
        <x:f>IF(H10=0,0,J10/H10)</x:f>
        <x:v>3325.8317025440315</x:v>
      </x:c>
      <x:c r="L10" s="23" t="n">
        <x:f>IF(H10=0,0,MAX(D10:G10)/H10)</x:f>
        <x:v>0.684931506849315</x:v>
      </x:c>
      <x:c r="M10" s="18" t="str">
        <x:f>IF(I10&lt;1,"FAIL","PASS")</x:f>
        <x:v>PASS</x:v>
      </x:c>
      <x:c r="N10" s="18" t="str">
        <x:v>SYNTHETIC / DEMO DATA</x:v>
      </x:c>
      <x:c r="O10" s="18" t="str">
        <x:v>Higher long-term concentration</x:v>
      </x:c>
    </x:row>
    <x:row r="11" ht="15" hidden="0" customHeight="1">
      <x:c r="A11" s="17" t="str">
        <x:v>Balanced</x:v>
      </x:c>
      <x:c r="B11" s="17" t="n">
        <x:v>2030</x:v>
      </x:c>
      <x:c r="C11" s="21" t="n">
        <x:v>54400</x:v>
      </x:c>
      <x:c r="D11" s="21" t="n">
        <x:v>5000</x:v>
      </x:c>
      <x:c r="E11" s="21" t="n">
        <x:v>9400</x:v>
      </x:c>
      <x:c r="F11" s="21" t="n">
        <x:v>15000</x:v>
      </x:c>
      <x:c r="G11" s="21" t="n">
        <x:v>25000</x:v>
      </x:c>
      <x:c r="H11" s="19" t="n">
        <x:f>SUM(D11:G11)</x:f>
        <x:v>54400</x:v>
      </x:c>
      <x:c r="I11" s="22" t="n">
        <x:f>IF(C11=0,0,MIN(H11/C11,1))</x:f>
        <x:v>1</x:v>
      </x:c>
      <x:c r="J11" s="19" t="n">
        <x:f>D11*'Option Inputs'!$B$5+E11*'Option Inputs'!$B$6+F11*'Option Inputs'!$B$7+G11*'Option Inputs'!$B$8</x:f>
        <x:v>194300000</x:v>
      </x:c>
      <x:c r="K11" s="19" t="n">
        <x:f>IF(H11=0,0,J11/H11)</x:f>
        <x:v>3571.6911764705883</x:v>
      </x:c>
      <x:c r="L11" s="22" t="n">
        <x:f>IF(H11=0,0,MAX(D11:G11)/H11)</x:f>
        <x:v>0.45955882352941174</x:v>
      </x:c>
      <x:c r="M11" s="17" t="str">
        <x:f>IF(I11&lt;1,"FAIL","PASS")</x:f>
        <x:v>PASS</x:v>
      </x:c>
      <x:c r="N11" s="17" t="str">
        <x:v>SYNTHETIC / DEMO DATA</x:v>
      </x:c>
      <x:c r="O11" s="17" t="str">
        <x:v>Diversified demo</x:v>
      </x:c>
    </x:row>
    <x:row r="12" ht="15" hidden="0" customHeight="1">
      <x:c r="A12" s="18" t="str">
        <x:v>Speed / Flexibility</x:v>
      </x:c>
      <x:c r="B12" s="18" t="n">
        <x:v>2030</x:v>
      </x:c>
      <x:c r="C12" s="21" t="n">
        <x:v>54400</x:v>
      </x:c>
      <x:c r="D12" s="21" t="n">
        <x:v>3000</x:v>
      </x:c>
      <x:c r="E12" s="21" t="n">
        <x:v>21400</x:v>
      </x:c>
      <x:c r="F12" s="21" t="n">
        <x:v>20000</x:v>
      </x:c>
      <x:c r="G12" s="21" t="n">
        <x:v>10000</x:v>
      </x:c>
      <x:c r="H12" s="20" t="n">
        <x:f>SUM(D12:G12)</x:f>
        <x:v>54400</x:v>
      </x:c>
      <x:c r="I12" s="23" t="n">
        <x:f>IF(C12=0,0,MIN(H12/C12,1))</x:f>
        <x:v>1</x:v>
      </x:c>
      <x:c r="J12" s="20" t="n">
        <x:f>D12*'Option Inputs'!$B$5+E12*'Option Inputs'!$B$6+F12*'Option Inputs'!$B$7+G12*'Option Inputs'!$B$8</x:f>
        <x:v>213300000</x:v>
      </x:c>
      <x:c r="K12" s="20" t="n">
        <x:f>IF(H12=0,0,J12/H12)</x:f>
        <x:v>3920.955882352941</x:v>
      </x:c>
      <x:c r="L12" s="23" t="n">
        <x:f>IF(H12=0,0,MAX(D12:G12)/H12)</x:f>
        <x:v>0.39338235294117646</x:v>
      </x:c>
      <x:c r="M12" s="18" t="str">
        <x:f>IF(I12&lt;1,"FAIL","PASS")</x:f>
        <x:v>PASS</x:v>
      </x:c>
      <x:c r="N12" s="18" t="str">
        <x:v>SYNTHETIC / DEMO DATA</x:v>
      </x:c>
      <x:c r="O12" s="18" t="str">
        <x:v>Higher short-term share</x:v>
      </x:c>
    </x:row>
    <x:row r="13" ht="15" hidden="0" customHeight="1">
      <x:c r="A13" s="17" t="str">
        <x:v>Long-term Core</x:v>
      </x:c>
      <x:c r="B13" s="17" t="n">
        <x:v>2030</x:v>
      </x:c>
      <x:c r="C13" s="21" t="n">
        <x:v>54400</x:v>
      </x:c>
      <x:c r="D13" s="21" t="n">
        <x:v>5000</x:v>
      </x:c>
      <x:c r="E13" s="21" t="n">
        <x:v>4400</x:v>
      </x:c>
      <x:c r="F13" s="21" t="n">
        <x:v>10000</x:v>
      </x:c>
      <x:c r="G13" s="21" t="n">
        <x:v>35000</x:v>
      </x:c>
      <x:c r="H13" s="19" t="n">
        <x:f>SUM(D13:G13)</x:f>
        <x:v>54400</x:v>
      </x:c>
      <x:c r="I13" s="22" t="n">
        <x:f>IF(C13=0,0,MIN(H13/C13,1))</x:f>
        <x:v>1</x:v>
      </x:c>
      <x:c r="J13" s="19" t="n">
        <x:f>D13*'Option Inputs'!$B$5+E13*'Option Inputs'!$B$6+F13*'Option Inputs'!$B$7+G13*'Option Inputs'!$B$8</x:f>
        <x:v>184800000</x:v>
      </x:c>
      <x:c r="K13" s="19" t="n">
        <x:f>IF(H13=0,0,J13/H13)</x:f>
        <x:v>3397.0588235294117</x:v>
      </x:c>
      <x:c r="L13" s="22" t="n">
        <x:f>IF(H13=0,0,MAX(D13:G13)/H13)</x:f>
        <x:v>0.6433823529411765</x:v>
      </x:c>
      <x:c r="M13" s="17" t="str">
        <x:f>IF(I13&lt;1,"FAIL","PASS")</x:f>
        <x:v>PASS</x:v>
      </x:c>
      <x:c r="N13" s="17" t="str">
        <x:v>SYNTHETIC / DEMO DATA</x:v>
      </x:c>
      <x:c r="O13" s="17" t="str">
        <x:v>Higher long-term concentration</x:v>
      </x:c>
    </x:row>
  </x:sheetData>
  <x:conditionalFormatting sqref="M5:M13">
    <x:cfRule type="containsText" dxfId="0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26954203f15743f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4" hidden="0" customWidth="1"/>
    <x:col min="2" max="2" width="52" hidden="0" customWidth="1"/>
    <x:col min="3" max="3" width="14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  <x:col min="9" max="9" width="20" hidden="0" customWidth="1"/>
    <x:col min="10" max="10" width="28" hidden="0" customWidth="1"/>
  </x:cols>
  <x:sheetData>
    <x:row r="1" ht="8" customHeight="1"/>
    <x:row r="2" ht="15" hidden="0" customHeight="1">
      <x:c r="A2" s="32" t="str">
        <x:v>Criteria weights and synthetic scenario scores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</x:row>
    <x:row r="4" ht="15" hidden="0" customHeight="1">
      <x:c r="A4" s="37" t="str">
        <x:v>Criterion</x:v>
      </x:c>
      <x:c r="B4" s="37" t="str">
        <x:v>Volume / timing</x:v>
      </x:c>
      <x:c r="C4" s="37" t="str">
        <x:v>Cost</x:v>
      </x:c>
      <x:c r="D4" s="37" t="str">
        <x:v>Flexibility</x:v>
      </x:c>
      <x:c r="E4" s="37" t="str">
        <x:v>Execution</x:v>
      </x:c>
      <x:c r="F4" s="37" t="str">
        <x:v>Concentration</x:v>
      </x:c>
      <x:c r="G4" s="37" t="str">
        <x:v>Dependency</x:v>
      </x:c>
      <x:c r="H4" s="37" t="str">
        <x:v>Claim relevance</x:v>
      </x:c>
      <x:c r="I4" s="33"/>
      <x:c r="J4" s="33"/>
    </x:row>
    <x:row r="5" ht="15" hidden="0" customHeight="1">
      <x:c r="A5" s="43" t="str">
        <x:v>Weight</x:v>
      </x:c>
      <x:c r="B5" s="44" t="n">
        <x:v>0.2</x:v>
      </x:c>
      <x:c r="C5" s="44" t="n">
        <x:v>0.15</x:v>
      </x:c>
      <x:c r="D5" s="44" t="n">
        <x:v>0.15</x:v>
      </x:c>
      <x:c r="E5" s="44" t="n">
        <x:v>0.15</x:v>
      </x:c>
      <x:c r="F5" s="44" t="n">
        <x:v>0.15</x:v>
      </x:c>
      <x:c r="G5" s="44" t="n">
        <x:v>0.1</x:v>
      </x:c>
      <x:c r="H5" s="44" t="n">
        <x:v>0.1</x:v>
      </x:c>
      <x:c r="I5" s="33"/>
      <x:c r="J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</x:row>
    <x:row r="8" ht="15" hidden="0" customHeight="1">
      <x:c r="A8" s="13" t="str">
        <x:v>Scenario</x:v>
      </x:c>
      <x:c r="B8" s="13" t="str">
        <x:v>Volume / timing</x:v>
      </x:c>
      <x:c r="C8" s="13" t="str">
        <x:v>Cost</x:v>
      </x:c>
      <x:c r="D8" s="13" t="str">
        <x:v>Flexibility</x:v>
      </x:c>
      <x:c r="E8" s="13" t="str">
        <x:v>Execution</x:v>
      </x:c>
      <x:c r="F8" s="13" t="str">
        <x:v>Concentration</x:v>
      </x:c>
      <x:c r="G8" s="13" t="str">
        <x:v>Dependency</x:v>
      </x:c>
      <x:c r="H8" s="13" t="str">
        <x:v>Claim relevance</x:v>
      </x:c>
      <x:c r="I8" s="13" t="str">
        <x:v>Weighted score</x:v>
      </x:c>
      <x:c r="J8" s="13" t="str">
        <x:v>Truth status</x:v>
      </x:c>
    </x:row>
    <x:row r="9" ht="15" hidden="0" customHeight="1">
      <x:c r="A9" s="17" t="str">
        <x:v>Balanced</x:v>
      </x:c>
      <x:c r="B9" s="27" t="n">
        <x:v>4</x:v>
      </x:c>
      <x:c r="C9" s="27" t="n">
        <x:v>3</x:v>
      </x:c>
      <x:c r="D9" s="27" t="n">
        <x:v>4</x:v>
      </x:c>
      <x:c r="E9" s="27" t="n">
        <x:v>3</x:v>
      </x:c>
      <x:c r="F9" s="27" t="n">
        <x:v>4</x:v>
      </x:c>
      <x:c r="G9" s="27" t="n">
        <x:v>4</x:v>
      </x:c>
      <x:c r="H9" s="27" t="n">
        <x:v>3</x:v>
      </x:c>
      <x:c r="I9" s="28" t="n">
        <x:f>SUMPRODUCT(B9:H9,$B$5:$H$5)</x:f>
        <x:v>3.5999999999999996</x:v>
      </x:c>
      <x:c r="J9" s="17" t="str">
        <x:v>SYNTHETIC / DEMO DATA</x:v>
      </x:c>
    </x:row>
    <x:row r="10" ht="15" hidden="0" customHeight="1">
      <x:c r="A10" s="18" t="str">
        <x:v>Speed / Flexibility</x:v>
      </x:c>
      <x:c r="B10" s="27" t="n">
        <x:v>5</x:v>
      </x:c>
      <x:c r="C10" s="27" t="n">
        <x:v>2</x:v>
      </x:c>
      <x:c r="D10" s="27" t="n">
        <x:v>5</x:v>
      </x:c>
      <x:c r="E10" s="27" t="n">
        <x:v>4</x:v>
      </x:c>
      <x:c r="F10" s="27" t="n">
        <x:v>3</x:v>
      </x:c>
      <x:c r="G10" s="27" t="n">
        <x:v>3</x:v>
      </x:c>
      <x:c r="H10" s="27" t="n">
        <x:v>2</x:v>
      </x:c>
      <x:c r="I10" s="29" t="n">
        <x:f>SUMPRODUCT(B10:H10,$B$5:$H$5)</x:f>
        <x:v>3.5999999999999996</x:v>
      </x:c>
      <x:c r="J10" s="18" t="str">
        <x:v>SYNTHETIC / DEMO DATA</x:v>
      </x:c>
    </x:row>
    <x:row r="11" ht="15" hidden="0" customHeight="1">
      <x:c r="A11" s="17" t="str">
        <x:v>Long-term Core</x:v>
      </x:c>
      <x:c r="B11" s="27" t="n">
        <x:v>3</x:v>
      </x:c>
      <x:c r="C11" s="27" t="n">
        <x:v>4</x:v>
      </x:c>
      <x:c r="D11" s="27" t="n">
        <x:v>2</x:v>
      </x:c>
      <x:c r="E11" s="27" t="n">
        <x:v>2</x:v>
      </x:c>
      <x:c r="F11" s="27" t="n">
        <x:v>2</x:v>
      </x:c>
      <x:c r="G11" s="27" t="n">
        <x:v>2</x:v>
      </x:c>
      <x:c r="H11" s="27" t="n">
        <x:v>4</x:v>
      </x:c>
      <x:c r="I11" s="28" t="n">
        <x:f>SUMPRODUCT(B11:H11,$B$5:$H$5)</x:f>
        <x:v>2.7</x:v>
      </x:c>
      <x:c r="J11" s="17" t="str">
        <x:v>SYNTHETIC / DEMO DATA</x:v>
      </x:c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</x:row>
    <x:row r="14" ht="15" hidden="0" customHeight="1">
      <x:c r="A14" s="45" t="str">
        <x:v>Anchor</x:v>
      </x:c>
      <x:c r="B14" s="45" t="str">
        <x:v>Definition</x:v>
      </x:c>
      <x:c r="C14" s="33"/>
      <x:c r="D14" s="33"/>
      <x:c r="E14" s="33"/>
      <x:c r="F14" s="33"/>
      <x:c r="G14" s="33"/>
      <x:c r="H14" s="33"/>
      <x:c r="I14" s="33"/>
      <x:c r="J14" s="33"/>
    </x:row>
    <x:row r="15" ht="15" hidden="0" customHeight="1">
      <x:c r="A15" s="46" t="str">
        <x:v>1</x:v>
      </x:c>
      <x:c r="B15" s="46" t="str">
        <x:v>Does not meet / high risk / evidence insufficient</x:v>
      </x:c>
      <x:c r="C15" s="33"/>
      <x:c r="D15" s="33"/>
      <x:c r="E15" s="33"/>
      <x:c r="F15" s="33"/>
      <x:c r="G15" s="33"/>
      <x:c r="H15" s="33"/>
      <x:c r="I15" s="33"/>
      <x:c r="J15" s="33"/>
    </x:row>
    <x:row r="16" ht="15" hidden="0" customHeight="1">
      <x:c r="A16" s="46" t="str">
        <x:v>3</x:v>
      </x:c>
      <x:c r="B16" s="46" t="str">
        <x:v>Feasible with material conditions</x:v>
      </x:c>
      <x:c r="C16" s="33"/>
      <x:c r="D16" s="33"/>
      <x:c r="E16" s="33"/>
      <x:c r="F16" s="33"/>
      <x:c r="G16" s="33"/>
      <x:c r="H16" s="33"/>
      <x:c r="I16" s="33"/>
      <x:c r="J16" s="33"/>
    </x:row>
    <x:row r="17" ht="15" hidden="0" customHeight="1">
      <x:c r="A17" s="46" t="str">
        <x:v>5</x:v>
      </x:c>
      <x:c r="B17" s="46" t="str">
        <x:v>Strong fit with sufficient evidence</x:v>
      </x:c>
      <x:c r="C17" s="33"/>
      <x:c r="D17" s="33"/>
      <x:c r="E17" s="33"/>
      <x:c r="F17" s="33"/>
      <x:c r="G17" s="33"/>
      <x:c r="H17" s="33"/>
      <x:c r="I17" s="33"/>
      <x:c r="J17" s="33"/>
    </x:row>
    <x:row r="18" ht="15" hidden="0" customHeight="1">
      <x:c r="A18" s="46" t="str">
        <x:v>Rule</x:v>
      </x:c>
      <x:c r="B18" s="46" t="str">
        <x:v>Hard constraint failure cannot be offset by score</x:v>
      </x:c>
      <x:c r="C18" s="33"/>
      <x:c r="D18" s="33"/>
      <x:c r="E18" s="33"/>
      <x:c r="F18" s="33"/>
      <x:c r="G18" s="33"/>
      <x:c r="H18" s="33"/>
      <x:c r="I18" s="33"/>
      <x:c r="J18" s="33"/>
    </x:row>
  </x:sheetData>
  <x:pageMargins left="0.7" right="0.7" top="0.75" bottom="0.75" header="0.3" footer="0.3"/>
  <x:tableParts count="1">
    <x:tablePart xmlns:r="http://schemas.openxmlformats.org/officeDocument/2006/relationships" r:id="Re4ffca78e8c845f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34" hidden="0" customWidth="1"/>
    <x:col min="2" max="2" width="70" hidden="0" customWidth="1"/>
    <x:col min="3" max="3" width="30" hidden="0" customWidth="1"/>
    <x:col min="4" max="4" width="16" hidden="0" customWidth="1"/>
    <x:col min="5" max="5" width="26" hidden="0" customWidth="1"/>
    <x:col min="6" max="6" width="24" hidden="0" customWidth="1"/>
    <x:col min="7" max="7" width="18" hidden="0" customWidth="1"/>
    <x:col min="8" max="8" width="24" hidden="0" customWidth="1"/>
    <x:col min="9" max="9" width="28" hidden="0" customWidth="1"/>
  </x:cols>
  <x:sheetData>
    <x:row r="1" ht="8" customHeight="1"/>
    <x:row r="2" ht="15" hidden="0" customHeight="1">
      <x:c r="A2" s="32" t="str">
        <x:v>G4 management summary — portfolio direction draft</x:v>
      </x:c>
      <x:c r="B2" s="33"/>
      <x:c r="C2" s="33"/>
      <x:c r="D2" s="33"/>
      <x:c r="E2" s="33"/>
      <x:c r="F2" s="33"/>
      <x:c r="G2" s="33"/>
      <x:c r="H2" s="33"/>
      <x:c r="I2" s="33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  <x:c r="I3" s="34"/>
    </x:row>
    <x:row r="4" ht="15" hidden="0" customHeight="1">
      <x:c r="A4" s="13" t="str">
        <x:v>Scenario</x:v>
      </x:c>
      <x:c r="B4" s="13" t="str">
        <x:v>3-year gap MWh</x:v>
      </x:c>
      <x:c r="C4" s="13" t="str">
        <x:v>3-year procured MWh</x:v>
      </x:c>
      <x:c r="D4" s="13" t="str">
        <x:v>3-year cost NTD</x:v>
      </x:c>
      <x:c r="E4" s="13" t="str">
        <x:v>Weighted NTD/MWh</x:v>
      </x:c>
      <x:c r="F4" s="13" t="str">
        <x:v>Average concentration</x:v>
      </x:c>
      <x:c r="G4" s="13" t="str">
        <x:v>Criteria score</x:v>
      </x:c>
      <x:c r="H4" s="13" t="str">
        <x:v>Preliminary status</x:v>
      </x:c>
      <x:c r="I4" s="13" t="str">
        <x:v>Truth status</x:v>
      </x:c>
    </x:row>
    <x:row r="5" ht="15" hidden="0" customHeight="1">
      <x:c r="A5" s="17" t="str">
        <x:v>Balanced</x:v>
      </x:c>
      <x:c r="B5" s="19" t="n">
        <x:f>SUMIF('Scenario Mix'!$A$5:$A$13,A5,'Scenario Mix'!$C$5:$C$13)</x:f>
        <x:v>158250</x:v>
      </x:c>
      <x:c r="C5" s="19" t="n">
        <x:f>SUMIF('Scenario Mix'!$A$5:$A$13,A5,'Scenario Mix'!$H$5:$H$13)</x:f>
        <x:v>158250</x:v>
      </x:c>
      <x:c r="D5" s="19" t="n">
        <x:f>SUMIF('Scenario Mix'!$A$5:$A$13,A5,'Scenario Mix'!$J$5:$J$13)</x:f>
        <x:v>560625000</x:v>
      </x:c>
      <x:c r="E5" s="19" t="n">
        <x:f>IF(C5=0,0,D5/C5)</x:f>
        <x:v>3542.654028436019</x:v>
      </x:c>
      <x:c r="F5" s="22" t="n">
        <x:f>AVERAGEIF('Scenario Mix'!$A$5:$A$13,A5,'Scenario Mix'!$L$5:$L$13)</x:f>
        <x:v>0.4742430878083883</x:v>
      </x:c>
      <x:c r="G5" s="28" t="n">
        <x:f>SUMIF('Criteria Scores'!$A$9:$A$11,A5,'Criteria Scores'!$I$9:$I$11)</x:f>
        <x:v>3.5999999999999996</x:v>
      </x:c>
      <x:c r="H5" s="17" t="str">
        <x:v>Conditional — demo</x:v>
      </x:c>
      <x:c r="I5" s="17" t="str">
        <x:v>SYNTHETIC / DEMO DATA</x:v>
      </x:c>
    </x:row>
    <x:row r="6" ht="15" hidden="0" customHeight="1">
      <x:c r="A6" s="18" t="str">
        <x:v>Speed / Flexibility</x:v>
      </x:c>
      <x:c r="B6" s="20" t="n">
        <x:f>SUMIF('Scenario Mix'!$A$5:$A$13,A6,'Scenario Mix'!$C$5:$C$13)</x:f>
        <x:v>158250</x:v>
      </x:c>
      <x:c r="C6" s="20" t="n">
        <x:f>SUMIF('Scenario Mix'!$A$5:$A$13,A6,'Scenario Mix'!$H$5:$H$13)</x:f>
        <x:v>158250</x:v>
      </x:c>
      <x:c r="D6" s="20" t="n">
        <x:f>SUMIF('Scenario Mix'!$A$5:$A$13,A6,'Scenario Mix'!$J$5:$J$13)</x:f>
        <x:v>617625000</x:v>
      </x:c>
      <x:c r="E6" s="20" t="n">
        <x:f>IF(C6=0,0,D6/C6)</x:f>
        <x:v>3902.8436018957345</x:v>
      </x:c>
      <x:c r="F6" s="23" t="n">
        <x:f>AVERAGEIF('Scenario Mix'!$A$5:$A$13,A6,'Scenario Mix'!$L$5:$L$13)</x:f>
        <x:v>0.3879729016192596</x:v>
      </x:c>
      <x:c r="G6" s="29" t="n">
        <x:f>SUMIF('Criteria Scores'!$A$9:$A$11,A6,'Criteria Scores'!$I$9:$I$11)</x:f>
        <x:v>3.5999999999999996</x:v>
      </x:c>
      <x:c r="H6" s="18" t="str">
        <x:v>Conditional — demo</x:v>
      </x:c>
      <x:c r="I6" s="18" t="str">
        <x:v>SYNTHETIC / DEMO DATA</x:v>
      </x:c>
    </x:row>
    <x:row r="7" ht="15" hidden="0" customHeight="1">
      <x:c r="A7" s="17" t="str">
        <x:v>Long-term Core</x:v>
      </x:c>
      <x:c r="B7" s="19" t="n">
        <x:f>SUMIF('Scenario Mix'!$A$5:$A$13,A7,'Scenario Mix'!$C$5:$C$13)</x:f>
        <x:v>158250</x:v>
      </x:c>
      <x:c r="C7" s="19" t="n">
        <x:f>SUMIF('Scenario Mix'!$A$5:$A$13,A7,'Scenario Mix'!$H$5:$H$13)</x:f>
        <x:v>158250</x:v>
      </x:c>
      <x:c r="D7" s="19" t="n">
        <x:f>SUMIF('Scenario Mix'!$A$5:$A$13,A7,'Scenario Mix'!$J$5:$J$13)</x:f>
        <x:v>532125000</x:v>
      </x:c>
      <x:c r="E7" s="19" t="n">
        <x:f>IF(C7=0,0,D7/C7)</x:f>
        <x:v>3362.559241706161</x:v>
      </x:c>
      <x:c r="F7" s="22" t="n">
        <x:f>AVERAGEIF('Scenario Mix'!$A$5:$A$13,A7,'Scenario Mix'!$L$5:$L$13)</x:f>
        <x:v>0.6639403229317437</x:v>
      </x:c>
      <x:c r="G7" s="28" t="n">
        <x:f>SUMIF('Criteria Scores'!$A$9:$A$11,A7,'Criteria Scores'!$I$9:$I$11)</x:f>
        <x:v>2.7</x:v>
      </x:c>
      <x:c r="H7" s="17" t="str">
        <x:v>Conditional — demo</x:v>
      </x:c>
      <x:c r="I7" s="17" t="str">
        <x:v>SYNTHETIC / DEMO DATA</x:v>
      </x:c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  <x:c r="I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  <x:c r="I9" s="33"/>
    </x:row>
    <x:row r="10" ht="15" hidden="0" customHeight="1">
      <x:c r="A10" s="13" t="str">
        <x:v>G4 decision</x:v>
      </x:c>
      <x:c r="B10" s="13" t="str">
        <x:v>Required confirmation</x:v>
      </x:c>
      <x:c r="C10" s="13" t="str">
        <x:v>Owner</x:v>
      </x:c>
      <x:c r="D10" s="13" t="str">
        <x:v>Status</x:v>
      </x:c>
      <x:c r="E10" s="13" t="str">
        <x:v>Downstream</x:v>
      </x:c>
      <x:c r="F10" s="33"/>
      <x:c r="G10" s="33"/>
      <x:c r="H10" s="33"/>
      <x:c r="I10" s="33"/>
    </x:row>
    <x:row r="11" ht="15" hidden="0" customHeight="1">
      <x:c r="A11" s="17" t="str">
        <x:v>Select direction / acceptable range</x:v>
      </x:c>
      <x:c r="B11" s="17" t="str">
        <x:v>approved gap + scenario trade-offs</x:v>
      </x:c>
      <x:c r="C11" s="17" t="str">
        <x:v>G4 body — TBD</x:v>
      </x:c>
      <x:c r="D11" s="17" t="str">
        <x:v>Open</x:v>
      </x:c>
      <x:c r="E11" s="17" t="str">
        <x:v>1.6 roadmap</x:v>
      </x:c>
      <x:c r="F11" s="33"/>
      <x:c r="G11" s="33"/>
      <x:c r="H11" s="33"/>
      <x:c r="I11" s="33"/>
    </x:row>
    <x:row r="12" ht="15" hidden="0" customHeight="1">
      <x:c r="A12" s="18" t="str">
        <x:v>Approve hard constraints</x:v>
      </x:c>
      <x:c r="B12" s="18" t="str">
        <x:v>coverage / timing / tenor / policy / concentration</x:v>
      </x:c>
      <x:c r="C12" s="18" t="str">
        <x:v>Cross-functional — TBD</x:v>
      </x:c>
      <x:c r="D12" s="18" t="str">
        <x:v>Open</x:v>
      </x:c>
      <x:c r="E12" s="18" t="str">
        <x:v>2.x screens</x:v>
      </x:c>
      <x:c r="F12" s="33"/>
      <x:c r="G12" s="33"/>
      <x:c r="H12" s="33"/>
      <x:c r="I12" s="33"/>
    </x:row>
    <x:row r="13" ht="15" hidden="0" customHeight="1">
      <x:c r="A13" s="17" t="str">
        <x:v>Approve market tests</x:v>
      </x:c>
      <x:c r="B13" s="17" t="str">
        <x:v>availability / price / COD / delivery / terms</x:v>
      </x:c>
      <x:c r="C13" s="17" t="str">
        <x:v>Procurement — TBD</x:v>
      </x:c>
      <x:c r="D13" s="17" t="str">
        <x:v>Open</x:v>
      </x:c>
      <x:c r="E13" s="17" t="str">
        <x:v>2.1–2.4</x:v>
      </x:c>
      <x:c r="F13" s="33"/>
      <x:c r="G13" s="33"/>
      <x:c r="H13" s="33"/>
      <x:c r="I13" s="33"/>
    </x:row>
    <x:row r="14" ht="15" hidden="0" customHeight="1">
      <x:c r="A14" s="18" t="str">
        <x:v>Approve disclosure boundary</x:v>
      </x:c>
      <x:c r="B14" s="18" t="str">
        <x:v>identity / site / volume / timing / recipients</x:v>
      </x:c>
      <x:c r="C14" s="18" t="str">
        <x:v>Procurement + Legal — TBD</x:v>
      </x:c>
      <x:c r="D14" s="18" t="str">
        <x:v>Open</x:v>
      </x:c>
      <x:c r="E14" s="18" t="str">
        <x:v>2.2 / 2.5</x:v>
      </x:c>
      <x:c r="F14" s="33"/>
      <x:c r="G14" s="33"/>
      <x:c r="H14" s="33"/>
      <x:c r="I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</x:row>
    <x:row r="17" ht="15" hidden="0" customHeight="1">
      <x:c r="A17" s="39" t="str">
        <x:v>Preliminary judgement</x:v>
      </x:c>
      <x:c r="B17" s="39" t="str"/>
      <x:c r="C17" s="33"/>
      <x:c r="D17" s="33"/>
      <x:c r="E17" s="33"/>
      <x:c r="F17" s="33"/>
      <x:c r="G17" s="33"/>
      <x:c r="H17" s="33"/>
      <x:c r="I17" s="33"/>
    </x:row>
    <x:row r="18" ht="15" hidden="0" customHeight="1">
      <x:c r="A18" s="38" t="str">
        <x:v>Demo result</x:v>
      </x:c>
      <x:c r="B18" s="38" t="str">
        <x:v>Balanced has the middle cost / concentration profile and highest synthetic score.</x:v>
      </x:c>
      <x:c r="C18" s="33"/>
      <x:c r="D18" s="33"/>
      <x:c r="E18" s="33"/>
      <x:c r="F18" s="33"/>
      <x:c r="G18" s="33"/>
      <x:c r="H18" s="33"/>
      <x:c r="I18" s="33"/>
    </x:row>
    <x:row r="19" ht="15" hidden="0" customHeight="1">
      <x:c r="A19" s="38" t="str">
        <x:v>Boundary</x:v>
      </x:c>
      <x:c r="B19" s="38" t="str">
        <x:v>This is not an AMAT recommendation and uses no market quotes.</x:v>
      </x:c>
      <x:c r="C19" s="33"/>
      <x:c r="D19" s="33"/>
      <x:c r="E19" s="33"/>
      <x:c r="F19" s="33"/>
      <x:c r="G19" s="33"/>
      <x:c r="H19" s="33"/>
      <x:c r="I19" s="33"/>
    </x:row>
    <x:row r="20" ht="15" hidden="0" customHeight="1">
      <x:c r="A20" s="38" t="str">
        <x:v>Next</x:v>
      </x:c>
      <x:c r="B20" s="38" t="str">
        <x:v>Replace evidence, test sensitivities and obtain G4 approval.</x:v>
      </x:c>
      <x:c r="C20" s="33"/>
      <x:c r="D20" s="33"/>
      <x:c r="E20" s="33"/>
      <x:c r="F20" s="33"/>
      <x:c r="G20" s="33"/>
      <x:c r="H20" s="33"/>
      <x:c r="I20" s="33"/>
    </x:row>
  </x:sheetData>
  <x:dataValidations count="1">
    <x:dataValidation type="list" sqref="D11:D14">
      <x:formula1>"Open,Approved,Approved with condition,Rejected"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a6620a0533164583"/>
    <x:tablePart xmlns:r="http://schemas.openxmlformats.org/officeDocument/2006/relationships" r:id="R26ad7240ed5e4975"/>
  </x:tableParts>
</x:worksheet>
</file>