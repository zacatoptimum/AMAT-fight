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96a842ea2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2f0eeda85c542ed"/>
    <x:sheet xmlns:r="http://schemas.openxmlformats.org/officeDocument/2006/relationships" name="Project Inputs" sheetId="2" r:id="R4509cc88b60b4ac5"/>
    <x:sheet xmlns:r="http://schemas.openxmlformats.org/officeDocument/2006/relationships" name="Commercial Cases" sheetId="3" r:id="Rabe1b81a20394d2c"/>
    <x:sheet xmlns:r="http://schemas.openxmlformats.org/officeDocument/2006/relationships" name="Risk Matrix" sheetId="4" r:id="Rd224092dc1ec44c9"/>
    <x:sheet xmlns:r="http://schemas.openxmlformats.org/officeDocument/2006/relationships" name="Decision Brief" sheetId="5" r:id="Refeb4f598eef49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%"/>
  </x:numFmts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201" fontId="3" fillId="4" borderId="3" xfId="0" applyNumberFormat="1" applyFont="1" applyFill="1" applyBorder="1" applyAlignment="1">
      <x:alignment vertical="center" wrapText="1"/>
    </x:xf>
    <x:xf numFmtId="202" fontId="3" fillId="4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202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f41f0f04c4c78" /><Relationship Type="http://schemas.openxmlformats.org/officeDocument/2006/relationships/theme" Target="/xl/theme/theme1.xml" Id="Re64229aa1c9b4bba" /><Relationship Type="http://schemas.openxmlformats.org/officeDocument/2006/relationships/sharedStrings" Target="/xl/sharedStrings.xml" Id="R7e4c81604838403e" /><Relationship Type="http://schemas.openxmlformats.org/officeDocument/2006/relationships/worksheet" Target="/xl/worksheets/sheet1.xml" Id="R12f0eeda85c542ed" /><Relationship Type="http://schemas.openxmlformats.org/officeDocument/2006/relationships/worksheet" Target="/xl/worksheets/sheet2.xml" Id="R4509cc88b60b4ac5" /><Relationship Type="http://schemas.openxmlformats.org/officeDocument/2006/relationships/worksheet" Target="/xl/worksheets/sheet3.xml" Id="Rabe1b81a20394d2c" /><Relationship Type="http://schemas.openxmlformats.org/officeDocument/2006/relationships/worksheet" Target="/xl/worksheets/sheet4.xml" Id="Rd224092dc1ec44c9" /><Relationship Type="http://schemas.openxmlformats.org/officeDocument/2006/relationships/worksheet" Target="/xl/worksheets/sheet5.xml" Id="Refeb4f598eef49fa" /></Relationships>
</file>

<file path=xl/tables/table1.xml><?xml version="1.0" encoding="utf-8"?>
<x:table xmlns:x="http://schemas.openxmlformats.org/spreadsheetml/2006/main" id="1" name="LongInstructionTable" displayName="LongInstructionTable" ref="A4:F7" headerRowCount="1" totalsRowCount="0" totalsRowShown="0">
  <x:tableColumns count="6">
    <x:tableColumn id="1" name="Control"/>
    <x:tableColumn id="2" name="Rule"/>
    <x:tableColumn id="3" name="Boundary"/>
    <x:tableColumn id="4" name="Owner"/>
    <x:tableColumn id="5" name="Review"/>
    <x:tableColumn id="6" name="Decision effe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ngProjectTable" displayName="LongProjectTable" ref="A4:Q7" headerRowCount="1" totalsRowCount="0" totalsRowShown="0">
  <x:tableColumns count="17">
    <x:tableColumn id="1" name="Option ID"/>
    <x:tableColumn id="2" name="Structure"/>
    <x:tableColumn id="3" name="Project ID"/>
    <x:tableColumn id="4" name="Technology"/>
    <x:tableColumn id="5" name="Maturity"/>
    <x:tableColumn id="6" name="COD year"/>
    <x:tableColumn id="7" name="Annual MWh"/>
    <x:tableColumn id="8" name="Profile"/>
    <x:tableColumn id="9" name="Tenor"/>
    <x:tableColumn id="10" name="Base NTD/MWh"/>
    <x:tableColumn id="11" name="Escalation %"/>
    <x:tableColumn id="12" name="Wheeling + fees"/>
    <x:tableColumn id="13" name="Expected delivery %"/>
    <x:tableColumn id="14" name="Delay years downside"/>
    <x:tableColumn id="15" name="Credit support"/>
    <x:tableColumn id="16" name="Certificate"/>
    <x:tableColumn id="17" name="Trut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ngCaseTable" displayName="LongCaseTable" ref="A4:M7" headerRowCount="1" totalsRowCount="0" totalsRowShown="0">
  <x:tableColumns count="13">
    <x:tableColumn id="1" name="Option ID"/>
    <x:tableColumn id="2" name="Annual MWh"/>
    <x:tableColumn id="3" name="Expected delivered MWh"/>
    <x:tableColumn id="4" name="Base cost NTD"/>
    <x:tableColumn id="5" name="Fees NTD"/>
    <x:tableColumn id="6" name="Expected total NTD"/>
    <x:tableColumn id="7" name="Expected all-in NTD/MWh"/>
    <x:tableColumn id="8" name="Downside COD"/>
    <x:tableColumn id="9" name="Downside delivered MWh"/>
    <x:tableColumn id="10" name="Delay gap MWh"/>
    <x:tableColumn id="11" name="Concentration"/>
    <x:tableColumn id="12" name="Evidence confidence"/>
    <x:tableColumn id="13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ngRiskTable" displayName="LongRiskTable" ref="A4:J9" headerRowCount="1" totalsRowCount="0" totalsRowShown="0">
  <x:tableColumns count="10">
    <x:tableColumn id="1" name="Risk ID"/>
    <x:tableColumn id="2" name="Risk event"/>
    <x:tableColumn id="3" name="Current allocation hypothesis"/>
    <x:tableColumn id="4" name="Evidence required"/>
    <x:tableColumn id="5" name="Preferred principle"/>
    <x:tableColumn id="6" name="Fallback"/>
    <x:tableColumn id="7" name="Severity"/>
    <x:tableColumn id="8" name="Owner"/>
    <x:tableColumn id="9" name="Status"/>
    <x:tableColumn id="10" name="3.2 clause topic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ngDecisionTable" displayName="LongDecisionTable" ref="A4:G7" headerRowCount="1" totalsRowCount="0" totalsRowShown="0">
  <x:tableColumns count="7">
    <x:tableColumn id="1" name="Decision"/>
    <x:tableColumn id="2" name="Preliminary view"/>
    <x:tableColumn id="3" name="Evidence / sensitivity"/>
    <x:tableColumn id="4" name="Condition"/>
    <x:tableColumn id="5" name="Owner"/>
    <x:tableColumn id="6" name="Status"/>
    <x:tableColumn id="7" name="Handof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ac1318a4a848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341a76c9d44e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cf43eb6a434f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d2b43012bf49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25d8f8514d4b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42" hidden="0" customWidth="1"/>
    <x:col min="4" max="4" width="26" hidden="0" customWidth="1"/>
    <x:col min="5" max="5" width="24" hidden="0" customWidth="1"/>
    <x:col min="6" max="6" width="32" hidden="0" customWidth="1"/>
  </x:cols>
  <x:sheetData>
    <x:row r="2" ht="15" hidden="0" customHeight="1">
      <x:c r="A2" s="23" t="str">
        <x:v>Long-term commercial model — controls</x:v>
      </x:c>
      <x:c r="B2" s="24"/>
      <x:c r="C2" s="24"/>
      <x:c r="D2" s="24"/>
      <x:c r="E2" s="24"/>
      <x:c r="F2" s="24"/>
    </x:row>
    <x:row r="3" ht="15" hidden="0" customHeight="1">
      <x:c r="A3" s="25"/>
      <x:c r="B3" s="25"/>
      <x:c r="C3" s="25"/>
      <x:c r="D3" s="25"/>
      <x:c r="E3" s="25"/>
      <x:c r="F3" s="25"/>
    </x:row>
    <x:row r="4" ht="15" hidden="0" customHeight="1">
      <x:c r="A4" s="26" t="str">
        <x:v>Control</x:v>
      </x:c>
      <x:c r="B4" s="26" t="str">
        <x:v>Rule</x:v>
      </x:c>
      <x:c r="C4" s="26" t="str">
        <x:v>Boundary</x:v>
      </x:c>
      <x:c r="D4" s="26" t="str">
        <x:v>Owner</x:v>
      </x:c>
      <x:c r="E4" s="26" t="str">
        <x:v>Review</x:v>
      </x:c>
      <x:c r="F4" s="26" t="str">
        <x:v>Decision effect</x:v>
      </x:c>
    </x:row>
    <x:row r="5" ht="15" hidden="0" customHeight="1">
      <x:c r="A5" s="11" t="str">
        <x:v>No headline-only price</x:v>
      </x:c>
      <x:c r="B5" s="11" t="str">
        <x:v>Compare all-in components with volume/profile/COD/tenor</x:v>
      </x:c>
      <x:c r="C5" s="11" t="str">
        <x:v>Commercial analysis</x:v>
      </x:c>
      <x:c r="D5" s="11" t="str">
        <x:v>Commercial Lead</x:v>
      </x:c>
      <x:c r="E5" s="11" t="str">
        <x:v>Project Lead</x:v>
      </x:c>
      <x:c r="F5" s="11" t="str">
        <x:v>Risk-adjusted value</x:v>
      </x:c>
    </x:row>
    <x:row r="6" ht="15" hidden="0" customHeight="1">
      <x:c r="A6" s="12" t="str">
        <x:v>Project evidence</x:v>
      </x:c>
      <x:c r="B6" s="12" t="str">
        <x:v>Company capability is not asset delivery</x:v>
      </x:c>
      <x:c r="C6" s="12" t="str">
        <x:v>Technical / legal evidence may be required</x:v>
      </x:c>
      <x:c r="D6" s="12" t="str">
        <x:v>DD Lead</x:v>
      </x:c>
      <x:c r="E6" s="12" t="str">
        <x:v>Specialist</x:v>
      </x:c>
      <x:c r="F6" s="12" t="str">
        <x:v>Conditional / fail</x:v>
      </x:c>
    </x:row>
    <x:row r="7" ht="15" hidden="0" customHeight="1">
      <x:c r="A7" s="11" t="str">
        <x:v>Demo data</x:v>
      </x:c>
      <x:c r="B7" s="11" t="str">
        <x:v>All seeded projects and prices are fictional</x:v>
      </x:c>
      <x:c r="C7" s="11" t="str">
        <x:v>Not an AMAT recommendation</x:v>
      </x:c>
      <x:c r="D7" s="11" t="str">
        <x:v>Model owner</x:v>
      </x:c>
      <x:c r="E7" s="11" t="str">
        <x:v>Project Lead</x:v>
      </x:c>
      <x:c r="F7" s="11" t="str">
        <x:v>Replace before use</x:v>
      </x:c>
    </x:row>
  </x:sheetData>
  <x:pageMargins left="0.7" right="0.7" top="0.75" bottom="0.75" header="0.3" footer="0.3"/>
  <x:tableParts count="1">
    <x:tablePart xmlns:r="http://schemas.openxmlformats.org/officeDocument/2006/relationships" r:id="R43ac1318a4a848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20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4" hidden="0" customWidth="1"/>
    <x:col min="10" max="10" width="20" hidden="0" customWidth="1"/>
    <x:col min="11" max="11" width="18" hidden="0" customWidth="1"/>
    <x:col min="12" max="12" width="22" hidden="0" customWidth="1"/>
    <x:col min="13" max="13" width="22" hidden="0" customWidth="1"/>
    <x:col min="14" max="14" width="22" hidden="0" customWidth="1"/>
    <x:col min="15" max="15" width="34" hidden="0" customWidth="1"/>
    <x:col min="16" max="16" width="26" hidden="0" customWidth="1"/>
    <x:col min="17" max="17" width="26" hidden="0" customWidth="1"/>
  </x:cols>
  <x:sheetData>
    <x:row r="2" ht="15" hidden="0" customHeight="1">
      <x:c r="A2" s="23" t="str">
        <x:v>Long-term project / route inputs — synthetic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</x:row>
    <x:row r="4" ht="15" hidden="0" customHeight="1">
      <x:c r="A4" s="26" t="str">
        <x:v>Option ID</x:v>
      </x:c>
      <x:c r="B4" s="26" t="str">
        <x:v>Structure</x:v>
      </x:c>
      <x:c r="C4" s="26" t="str">
        <x:v>Project ID</x:v>
      </x:c>
      <x:c r="D4" s="26" t="str">
        <x:v>Technology</x:v>
      </x:c>
      <x:c r="E4" s="26" t="str">
        <x:v>Maturity</x:v>
      </x:c>
      <x:c r="F4" s="26" t="str">
        <x:v>COD year</x:v>
      </x:c>
      <x:c r="G4" s="26" t="str">
        <x:v>Annual MWh</x:v>
      </x:c>
      <x:c r="H4" s="26" t="str">
        <x:v>Profile</x:v>
      </x:c>
      <x:c r="I4" s="26" t="str">
        <x:v>Tenor</x:v>
      </x:c>
      <x:c r="J4" s="26" t="str">
        <x:v>Base NTD/MWh</x:v>
      </x:c>
      <x:c r="K4" s="26" t="str">
        <x:v>Escalation %</x:v>
      </x:c>
      <x:c r="L4" s="26" t="str">
        <x:v>Wheeling + fees</x:v>
      </x:c>
      <x:c r="M4" s="26" t="str">
        <x:v>Expected delivery %</x:v>
      </x:c>
      <x:c r="N4" s="26" t="str">
        <x:v>Delay years downside</x:v>
      </x:c>
      <x:c r="O4" s="26" t="str">
        <x:v>Credit support</x:v>
      </x:c>
      <x:c r="P4" s="26" t="str">
        <x:v>Certificate</x:v>
      </x:c>
      <x:c r="Q4" s="26" t="str">
        <x:v>Truth status</x:v>
      </x:c>
    </x:row>
    <x:row r="5" ht="15" hidden="0" customHeight="1">
      <x:c r="A5" s="11" t="str">
        <x:v>LT-DEMO-A</x:v>
      </x:c>
      <x:c r="B5" s="11" t="str">
        <x:v>Retailer bundled</x:v>
      </x:c>
      <x:c r="C5" s="11" t="str">
        <x:v>AST-DEMO-A</x:v>
      </x:c>
      <x:c r="D5" s="11" t="str">
        <x:v>Solar demo</x:v>
      </x:c>
      <x:c r="E5" s="11" t="str">
        <x:v>Unverified</x:v>
      </x:c>
      <x:c r="F5" s="13" t="n">
        <x:v>2028</x:v>
      </x:c>
      <x:c r="G5" s="14" t="n">
        <x:v>30000</x:v>
      </x:c>
      <x:c r="H5" s="13" t="str">
        <x:v>Shaped</x:v>
      </x:c>
      <x:c r="I5" s="13" t="n">
        <x:v>10</x:v>
      </x:c>
      <x:c r="J5" s="14" t="n">
        <x:v>3100</x:v>
      </x:c>
      <x:c r="K5" s="15" t="n">
        <x:v>0.015</x:v>
      </x:c>
      <x:c r="L5" s="14" t="n">
        <x:v>350</x:v>
      </x:c>
      <x:c r="M5" s="16" t="n">
        <x:v>0.9</x:v>
      </x:c>
      <x:c r="N5" s="13" t="n">
        <x:v>1</x:v>
      </x:c>
      <x:c r="O5" s="13" t="str">
        <x:v>Parent support / TBD</x:v>
      </x:c>
      <x:c r="P5" s="13" t="str">
        <x:v>Bundled / verify</x:v>
      </x:c>
      <x:c r="Q5" s="11" t="str">
        <x:v>SYNTHETIC / DEMO DATA</x:v>
      </x:c>
    </x:row>
    <x:row r="6" ht="15" hidden="0" customHeight="1">
      <x:c r="A6" s="12" t="str">
        <x:v>LT-DEMO-B</x:v>
      </x:c>
      <x:c r="B6" s="12" t="str">
        <x:v>Project-linked CPPA hypothesis</x:v>
      </x:c>
      <x:c r="C6" s="12" t="str">
        <x:v>AST-DEMO-B</x:v>
      </x:c>
      <x:c r="D6" s="12" t="str">
        <x:v>Wind demo</x:v>
      </x:c>
      <x:c r="E6" s="12" t="str">
        <x:v>Development / unverified</x:v>
      </x:c>
      <x:c r="F6" s="13" t="n">
        <x:v>2029</x:v>
      </x:c>
      <x:c r="G6" s="14" t="n">
        <x:v>45000</x:v>
      </x:c>
      <x:c r="H6" s="13" t="str">
        <x:v>As-generated</x:v>
      </x:c>
      <x:c r="I6" s="13" t="n">
        <x:v>15</x:v>
      </x:c>
      <x:c r="J6" s="14" t="n">
        <x:v>2850</x:v>
      </x:c>
      <x:c r="K6" s="15" t="n">
        <x:v>0.02</x:v>
      </x:c>
      <x:c r="L6" s="14" t="n">
        <x:v>420</x:v>
      </x:c>
      <x:c r="M6" s="16" t="n">
        <x:v>0.8</x:v>
      </x:c>
      <x:c r="N6" s="13" t="n">
        <x:v>2</x:v>
      </x:c>
      <x:c r="O6" s="13" t="str">
        <x:v>Project company + guarantee TBD</x:v>
      </x:c>
      <x:c r="P6" s="13" t="str">
        <x:v>Bundled / verify</x:v>
      </x:c>
      <x:c r="Q6" s="12" t="str">
        <x:v>SYNTHETIC / DEMO DATA</x:v>
      </x:c>
    </x:row>
    <x:row r="7" ht="15" hidden="0" customHeight="1">
      <x:c r="A7" s="11" t="str">
        <x:v>LT-DEMO-C</x:v>
      </x:c>
      <x:c r="B7" s="11" t="str">
        <x:v>Portfolio / layered</x:v>
      </x:c>
      <x:c r="C7" s="11" t="str">
        <x:v>AST-DEMO-C</x:v>
      </x:c>
      <x:c r="D7" s="11" t="str">
        <x:v>Mixed demo</x:v>
      </x:c>
      <x:c r="E7" s="11" t="str">
        <x:v>Mixed / unverified</x:v>
      </x:c>
      <x:c r="F7" s="13" t="n">
        <x:v>2028</x:v>
      </x:c>
      <x:c r="G7" s="14" t="n">
        <x:v>38000</x:v>
      </x:c>
      <x:c r="H7" s="13" t="str">
        <x:v>Portfolio</x:v>
      </x:c>
      <x:c r="I7" s="13" t="n">
        <x:v>12</x:v>
      </x:c>
      <x:c r="J7" s="14" t="n">
        <x:v>3250</x:v>
      </x:c>
      <x:c r="K7" s="15" t="n">
        <x:v>0.01</x:v>
      </x:c>
      <x:c r="L7" s="14" t="n">
        <x:v>300</x:v>
      </x:c>
      <x:c r="M7" s="16" t="n">
        <x:v>0.95</x:v>
      </x:c>
      <x:c r="N7" s="13" t="n">
        <x:v>1</x:v>
      </x:c>
      <x:c r="O7" s="13" t="str">
        <x:v>Retailer credit / TBD</x:v>
      </x:c>
      <x:c r="P7" s="13" t="str">
        <x:v>Bundled / verify</x:v>
      </x:c>
      <x:c r="Q7" s="11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9e341a76c9d44e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22" hidden="0" customWidth="1"/>
    <x:col min="5" max="5" width="20" hidden="0" customWidth="1"/>
    <x:col min="6" max="6" width="24" hidden="0" customWidth="1"/>
    <x:col min="7" max="7" width="28" hidden="0" customWidth="1"/>
    <x:col min="8" max="8" width="18" hidden="0" customWidth="1"/>
    <x:col min="9" max="9" width="26" hidden="0" customWidth="1"/>
    <x:col min="10" max="10" width="22" hidden="0" customWidth="1"/>
    <x:col min="11" max="11" width="20" hidden="0" customWidth="1"/>
    <x:col min="12" max="12" width="24" hidden="0" customWidth="1"/>
    <x:col min="13" max="13" width="18" hidden="0" customWidth="1"/>
  </x:cols>
  <x:sheetData>
    <x:row r="2" ht="15" hidden="0" customHeight="1">
      <x:c r="A2" s="23" t="str">
        <x:v>Commercial case normalization — synthetic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</x:row>
    <x:row r="4" ht="15" hidden="0" customHeight="1">
      <x:c r="A4" s="26" t="str">
        <x:v>Option ID</x:v>
      </x:c>
      <x:c r="B4" s="26" t="str">
        <x:v>Annual MWh</x:v>
      </x:c>
      <x:c r="C4" s="26" t="str">
        <x:v>Expected delivered MWh</x:v>
      </x:c>
      <x:c r="D4" s="26" t="str">
        <x:v>Base cost NTD</x:v>
      </x:c>
      <x:c r="E4" s="26" t="str">
        <x:v>Fees NTD</x:v>
      </x:c>
      <x:c r="F4" s="26" t="str">
        <x:v>Expected total NTD</x:v>
      </x:c>
      <x:c r="G4" s="26" t="str">
        <x:v>Expected all-in NTD/MWh</x:v>
      </x:c>
      <x:c r="H4" s="26" t="str">
        <x:v>Downside COD</x:v>
      </x:c>
      <x:c r="I4" s="26" t="str">
        <x:v>Downside delivered MWh</x:v>
      </x:c>
      <x:c r="J4" s="26" t="str">
        <x:v>Delay gap MWh</x:v>
      </x:c>
      <x:c r="K4" s="26" t="str">
        <x:v>Concentration</x:v>
      </x:c>
      <x:c r="L4" s="26" t="str">
        <x:v>Evidence confidence</x:v>
      </x:c>
      <x:c r="M4" s="26" t="str">
        <x:v>Status</x:v>
      </x:c>
    </x:row>
    <x:row r="5" ht="15" hidden="0" customHeight="1">
      <x:c r="A5" s="11" t="str">
        <x:v>LT-DEMO-A</x:v>
      </x:c>
      <x:c r="B5" s="17" t="n">
        <x:f>'Project Inputs'!G5</x:f>
        <x:v>30000</x:v>
      </x:c>
      <x:c r="C5" s="17" t="n">
        <x:f>B5*'Project Inputs'!M5</x:f>
        <x:v>27000</x:v>
      </x:c>
      <x:c r="D5" s="17" t="n">
        <x:f>C5*'Project Inputs'!J5</x:f>
        <x:v>83700000</x:v>
      </x:c>
      <x:c r="E5" s="17" t="n">
        <x:f>C5*'Project Inputs'!L5</x:f>
        <x:v>9450000</x:v>
      </x:c>
      <x:c r="F5" s="17" t="n">
        <x:f>D5+E5</x:f>
        <x:v>93150000</x:v>
      </x:c>
      <x:c r="G5" s="17" t="n">
        <x:f>IF(C5=0,0,F5/C5)</x:f>
        <x:v>3450</x:v>
      </x:c>
      <x:c r="H5" s="17" t="n">
        <x:f>'Project Inputs'!F5+'Project Inputs'!N5</x:f>
        <x:v>2029</x:v>
      </x:c>
      <x:c r="I5" s="17" t="n">
        <x:f>IF('Project Inputs'!N5&gt;0,0,C5)</x:f>
        <x:v>0</x:v>
      </x:c>
      <x:c r="J5" s="17" t="n">
        <x:f>MAX(0,C5-I5)</x:f>
        <x:v>27000</x:v>
      </x:c>
      <x:c r="K5" s="16" t="n">
        <x:v>0.5</x:v>
      </x:c>
      <x:c r="L5" s="13" t="n">
        <x:v>2</x:v>
      </x:c>
      <x:c r="M5" s="11" t="str">
        <x:f>IF(L5&lt;3,"CONDITIONAL","TEST")</x:f>
        <x:v>CONDITIONAL</x:v>
      </x:c>
    </x:row>
    <x:row r="6" ht="15" hidden="0" customHeight="1">
      <x:c r="A6" s="12" t="str">
        <x:v>LT-DEMO-B</x:v>
      </x:c>
      <x:c r="B6" s="18" t="n">
        <x:f>'Project Inputs'!G6</x:f>
        <x:v>45000</x:v>
      </x:c>
      <x:c r="C6" s="18" t="n">
        <x:f>B6*'Project Inputs'!M6</x:f>
        <x:v>36000</x:v>
      </x:c>
      <x:c r="D6" s="18" t="n">
        <x:f>C6*'Project Inputs'!J6</x:f>
        <x:v>102600000</x:v>
      </x:c>
      <x:c r="E6" s="18" t="n">
        <x:f>C6*'Project Inputs'!L6</x:f>
        <x:v>15120000</x:v>
      </x:c>
      <x:c r="F6" s="18" t="n">
        <x:f>D6+E6</x:f>
        <x:v>117720000</x:v>
      </x:c>
      <x:c r="G6" s="18" t="n">
        <x:f>IF(C6=0,0,F6/C6)</x:f>
        <x:v>3270</x:v>
      </x:c>
      <x:c r="H6" s="18" t="n">
        <x:f>'Project Inputs'!F6+'Project Inputs'!N6</x:f>
        <x:v>2031</x:v>
      </x:c>
      <x:c r="I6" s="18" t="n">
        <x:f>IF('Project Inputs'!N6&gt;0,0,C6)</x:f>
        <x:v>0</x:v>
      </x:c>
      <x:c r="J6" s="18" t="n">
        <x:f>MAX(0,C6-I6)</x:f>
        <x:v>36000</x:v>
      </x:c>
      <x:c r="K6" s="16" t="n">
        <x:v>0.65</x:v>
      </x:c>
      <x:c r="L6" s="13" t="n">
        <x:v>2</x:v>
      </x:c>
      <x:c r="M6" s="12" t="str">
        <x:f>IF(L6&lt;3,"CONDITIONAL","TEST")</x:f>
        <x:v>CONDITIONAL</x:v>
      </x:c>
    </x:row>
    <x:row r="7" ht="15" hidden="0" customHeight="1">
      <x:c r="A7" s="11" t="str">
        <x:v>LT-DEMO-C</x:v>
      </x:c>
      <x:c r="B7" s="17" t="n">
        <x:f>'Project Inputs'!G7</x:f>
        <x:v>38000</x:v>
      </x:c>
      <x:c r="C7" s="17" t="n">
        <x:f>B7*'Project Inputs'!M7</x:f>
        <x:v>36100</x:v>
      </x:c>
      <x:c r="D7" s="17" t="n">
        <x:f>C7*'Project Inputs'!J7</x:f>
        <x:v>117325000</x:v>
      </x:c>
      <x:c r="E7" s="17" t="n">
        <x:f>C7*'Project Inputs'!L7</x:f>
        <x:v>10830000</x:v>
      </x:c>
      <x:c r="F7" s="17" t="n">
        <x:f>D7+E7</x:f>
        <x:v>128155000</x:v>
      </x:c>
      <x:c r="G7" s="17" t="n">
        <x:f>IF(C7=0,0,F7/C7)</x:f>
        <x:v>3550</x:v>
      </x:c>
      <x:c r="H7" s="17" t="n">
        <x:f>'Project Inputs'!F7+'Project Inputs'!N7</x:f>
        <x:v>2029</x:v>
      </x:c>
      <x:c r="I7" s="17" t="n">
        <x:f>IF('Project Inputs'!N7&gt;0,0,C7)</x:f>
        <x:v>0</x:v>
      </x:c>
      <x:c r="J7" s="17" t="n">
        <x:f>MAX(0,C7-I7)</x:f>
        <x:v>36100</x:v>
      </x:c>
      <x:c r="K7" s="16" t="n">
        <x:v>0.4</x:v>
      </x:c>
      <x:c r="L7" s="13" t="n">
        <x:v>1</x:v>
      </x:c>
      <x:c r="M7" s="11" t="str">
        <x:f>IF(L7&lt;3,"CONDITIONAL","TEST")</x:f>
        <x:v>CONDITIONAL</x:v>
      </x:c>
    </x:row>
  </x:sheetData>
  <x:pageMargins left="0.7" right="0.7" top="0.75" bottom="0.75" header="0.3" footer="0.3"/>
  <x:tableParts count="1">
    <x:tablePart xmlns:r="http://schemas.openxmlformats.org/officeDocument/2006/relationships" r:id="Re1cf43eb6a434f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8" hidden="0" customWidth="1"/>
    <x:col min="4" max="4" width="40" hidden="0" customWidth="1"/>
    <x:col min="5" max="5" width="38" hidden="0" customWidth="1"/>
    <x:col min="6" max="6" width="32" hidden="0" customWidth="1"/>
    <x:col min="7" max="7" width="14" hidden="0" customWidth="1"/>
    <x:col min="8" max="8" width="28" hidden="0" customWidth="1"/>
    <x:col min="9" max="9" width="16" hidden="0" customWidth="1"/>
    <x:col min="10" max="10" width="34" hidden="0" customWidth="1"/>
  </x:cols>
  <x:sheetData>
    <x:row r="2" ht="15" hidden="0" customHeight="1">
      <x:c r="A2" s="23" t="str">
        <x:v>Long-term risk allocation questions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15" hidden="0" customHeight="1">
      <x:c r="A4" s="26" t="str">
        <x:v>Risk ID</x:v>
      </x:c>
      <x:c r="B4" s="26" t="str">
        <x:v>Risk event</x:v>
      </x:c>
      <x:c r="C4" s="26" t="str">
        <x:v>Current allocation hypothesis</x:v>
      </x:c>
      <x:c r="D4" s="26" t="str">
        <x:v>Evidence required</x:v>
      </x:c>
      <x:c r="E4" s="26" t="str">
        <x:v>Preferred principle</x:v>
      </x:c>
      <x:c r="F4" s="26" t="str">
        <x:v>Fallback</x:v>
      </x:c>
      <x:c r="G4" s="26" t="str">
        <x:v>Severity</x:v>
      </x:c>
      <x:c r="H4" s="26" t="str">
        <x:v>Owner</x:v>
      </x:c>
      <x:c r="I4" s="26" t="str">
        <x:v>Status</x:v>
      </x:c>
      <x:c r="J4" s="26" t="str">
        <x:v>3.2 clause topic</x:v>
      </x:c>
    </x:row>
    <x:row r="5" ht="15" hidden="0" customHeight="1">
      <x:c r="A5" s="11" t="str">
        <x:v>LR-01</x:v>
      </x:c>
      <x:c r="B5" s="11" t="str">
        <x:v>COD / start delay</x:v>
      </x:c>
      <x:c r="C5" s="11" t="str">
        <x:v>Supplier / project — TBD</x:v>
      </x:c>
      <x:c r="D5" s="11" t="str">
        <x:v>Milestone and remedy proposal</x:v>
      </x:c>
      <x:c r="E5" s="11" t="str">
        <x:v>Supplier bears controllable delay</x:v>
      </x:c>
      <x:c r="F5" s="11" t="str">
        <x:v>Layered volume / bridge</x:v>
      </x:c>
      <x:c r="G5" s="11" t="n">
        <x:v>5</x:v>
      </x:c>
      <x:c r="H5" s="11" t="str">
        <x:v>Commercial Lead</x:v>
      </x:c>
      <x:c r="I5" s="11" t="str">
        <x:v>Open</x:v>
      </x:c>
      <x:c r="J5" s="11" t="str">
        <x:v>COD; delay LD; termination</x:v>
      </x:c>
    </x:row>
    <x:row r="6" ht="15" hidden="0" customHeight="1">
      <x:c r="A6" s="12" t="str">
        <x:v>LR-02</x:v>
      </x:c>
      <x:c r="B6" s="12" t="str">
        <x:v>Generation shortfall</x:v>
      </x:c>
      <x:c r="C6" s="12" t="str">
        <x:v>TBD</x:v>
      </x:c>
      <x:c r="D6" s="12" t="str">
        <x:v>Profile / P50 / replacement proposal</x:v>
      </x:c>
      <x:c r="E6" s="12" t="str">
        <x:v>Defined delivery and remedy</x:v>
      </x:c>
      <x:c r="F6" s="12" t="str">
        <x:v>Portfolio / replacement</x:v>
      </x:c>
      <x:c r="G6" s="12" t="n">
        <x:v>5</x:v>
      </x:c>
      <x:c r="H6" s="12" t="str">
        <x:v>Commercial Lead</x:v>
      </x:c>
      <x:c r="I6" s="12" t="str">
        <x:v>Open</x:v>
      </x:c>
      <x:c r="J6" s="12" t="str">
        <x:v>Shortfall; replacement</x:v>
      </x:c>
    </x:row>
    <x:row r="7" ht="15" hidden="0" customHeight="1">
      <x:c r="A7" s="11" t="str">
        <x:v>LR-03</x:v>
      </x:c>
      <x:c r="B7" s="11" t="str">
        <x:v>Wheeling / meter delay</x:v>
      </x:c>
      <x:c r="C7" s="11" t="str">
        <x:v>Shared / TBD</x:v>
      </x:c>
      <x:c r="D7" s="11" t="str">
        <x:v>Responsibilities and timeline</x:v>
      </x:c>
      <x:c r="E7" s="11" t="str">
        <x:v>Allocate to controlling party</x:v>
      </x:c>
      <x:c r="F7" s="11" t="str">
        <x:v>Site / route fallback</x:v>
      </x:c>
      <x:c r="G7" s="11" t="n">
        <x:v>4</x:v>
      </x:c>
      <x:c r="H7" s="11" t="str">
        <x:v>Facilities + supplier</x:v>
      </x:c>
      <x:c r="I7" s="11" t="str">
        <x:v>Open</x:v>
      </x:c>
      <x:c r="J7" s="11" t="str">
        <x:v>CP; cooperation</x:v>
      </x:c>
    </x:row>
    <x:row r="8" ht="15" hidden="0" customHeight="1">
      <x:c r="A8" s="12" t="str">
        <x:v>LR-04</x:v>
      </x:c>
      <x:c r="B8" s="12" t="str">
        <x:v>T-REC late / invalid</x:v>
      </x:c>
      <x:c r="C8" s="12" t="str">
        <x:v>Supplier / TBD</x:v>
      </x:c>
      <x:c r="D8" s="12" t="str">
        <x:v>Issuance / transfer / replacement</x:v>
      </x:c>
      <x:c r="E8" s="12" t="str">
        <x:v>Valid certificates + replacement</x:v>
      </x:c>
      <x:c r="F8" s="12" t="str">
        <x:v>Holdback / alternative</x:v>
      </x:c>
      <x:c r="G8" s="12" t="n">
        <x:v>5</x:v>
      </x:c>
      <x:c r="H8" s="12" t="str">
        <x:v>Sustainability + Legal</x:v>
      </x:c>
      <x:c r="I8" s="12" t="str">
        <x:v>Open</x:v>
      </x:c>
      <x:c r="J8" s="12" t="str">
        <x:v>Certificate warranty</x:v>
      </x:c>
    </x:row>
    <x:row r="9" ht="15" hidden="0" customHeight="1">
      <x:c r="A9" s="11" t="str">
        <x:v>LR-05</x:v>
      </x:c>
      <x:c r="B9" s="11" t="str">
        <x:v>Credit deterioration</x:v>
      </x:c>
      <x:c r="C9" s="11" t="str">
        <x:v>TBD</x:v>
      </x:c>
      <x:c r="D9" s="11" t="str">
        <x:v>Financials / guarantee</x:v>
      </x:c>
      <x:c r="E9" s="11" t="str">
        <x:v>Proportionate security</x:v>
      </x:c>
      <x:c r="F9" s="11" t="str">
        <x:v>Parent support / step-up</x:v>
      </x:c>
      <x:c r="G9" s="11" t="n">
        <x:v>4</x:v>
      </x:c>
      <x:c r="H9" s="11" t="str">
        <x:v>Finance</x:v>
      </x:c>
      <x:c r="I9" s="11" t="str">
        <x:v>Open</x:v>
      </x:c>
      <x:c r="J9" s="11" t="str">
        <x:v>Credit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a2d2b43012bf494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54" hidden="0" customWidth="1"/>
    <x:col min="3" max="3" width="48" hidden="0" customWidth="1"/>
    <x:col min="4" max="4" width="42" hidden="0" customWidth="1"/>
    <x:col min="5" max="5" width="32" hidden="0" customWidth="1"/>
    <x:col min="6" max="6" width="16" hidden="0" customWidth="1"/>
    <x:col min="7" max="7" width="26" hidden="0" customWidth="1"/>
  </x:cols>
  <x:sheetData>
    <x:row r="2" ht="15" hidden="0" customHeight="1">
      <x:c r="A2" s="23" t="str">
        <x:v>Long-term decision brief — synthetic</x:v>
      </x:c>
      <x:c r="B2" s="24"/>
      <x:c r="C2" s="24"/>
      <x:c r="D2" s="24"/>
      <x:c r="E2" s="24"/>
      <x:c r="F2" s="24"/>
      <x:c r="G2" s="24"/>
    </x:row>
    <x:row r="3" ht="15" hidden="0" customHeight="1">
      <x:c r="A3" s="25"/>
      <x:c r="B3" s="25"/>
      <x:c r="C3" s="25"/>
      <x:c r="D3" s="25"/>
      <x:c r="E3" s="25"/>
      <x:c r="F3" s="25"/>
      <x:c r="G3" s="25"/>
    </x:row>
    <x:row r="4" ht="15" hidden="0" customHeight="1">
      <x:c r="A4" s="26" t="str">
        <x:v>Decision</x:v>
      </x:c>
      <x:c r="B4" s="26" t="str">
        <x:v>Preliminary view</x:v>
      </x:c>
      <x:c r="C4" s="26" t="str">
        <x:v>Evidence / sensitivity</x:v>
      </x:c>
      <x:c r="D4" s="26" t="str">
        <x:v>Condition</x:v>
      </x:c>
      <x:c r="E4" s="26" t="str">
        <x:v>Owner</x:v>
      </x:c>
      <x:c r="F4" s="26" t="str">
        <x:v>Status</x:v>
      </x:c>
      <x:c r="G4" s="26" t="str">
        <x:v>Handoff</x:v>
      </x:c>
    </x:row>
    <x:row r="5" ht="15" hidden="0" customHeight="1">
      <x:c r="A5" s="11" t="str">
        <x:v>Structure range</x:v>
      </x:c>
      <x:c r="B5" s="11" t="str">
        <x:v>Retain bundled, project-linked and layered routes for testing</x:v>
      </x:c>
      <x:c r="C5" s="11" t="str">
        <x:v>All options demo</x:v>
      </x:c>
      <x:c r="D5" s="11" t="str">
        <x:v>No route approval without G6</x:v>
      </x:c>
      <x:c r="E5" s="11" t="str">
        <x:v>Decision body — TBD</x:v>
      </x:c>
      <x:c r="F5" s="11" t="str">
        <x:v>Open</x:v>
      </x:c>
      <x:c r="G5" s="11" t="str">
        <x:v>2.5 scope</x:v>
      </x:c>
    </x:row>
    <x:row r="6" ht="15" hidden="0" customHeight="1">
      <x:c r="A6" s="12" t="str">
        <x:v>Value metric</x:v>
      </x:c>
      <x:c r="B6" s="12" t="str">
        <x:v>Use expected all-in + delay / underdelivery sensitivity</x:v>
      </x:c>
      <x:c r="C6" s="12" t="str">
        <x:v>Demo formulas only</x:v>
      </x:c>
      <x:c r="D6" s="12" t="str">
        <x:v>Finance validates metric</x:v>
      </x:c>
      <x:c r="E6" s="12" t="str">
        <x:v>Finance — TBD</x:v>
      </x:c>
      <x:c r="F6" s="12" t="str">
        <x:v>Open</x:v>
      </x:c>
      <x:c r="G6" s="12" t="str">
        <x:v>Scorecard</x:v>
      </x:c>
    </x:row>
    <x:row r="7" ht="15" hidden="0" customHeight="1">
      <x:c r="A7" s="11" t="str">
        <x:v>Risk boundary</x:v>
      </x:c>
      <x:c r="B7" s="11" t="str">
        <x:v>COD, shortfall, certificate and credit require explicit allocation</x:v>
      </x:c>
      <x:c r="C7" s="11" t="str">
        <x:v>Risk matrix</x:v>
      </x:c>
      <x:c r="D7" s="11" t="str">
        <x:v>Legal / specialist review</x:v>
      </x:c>
      <x:c r="E7" s="11" t="str">
        <x:v>Client approvers — TBD</x:v>
      </x:c>
      <x:c r="F7" s="11" t="str">
        <x:v>Open</x:v>
      </x:c>
      <x:c r="G7" s="11" t="str">
        <x:v>3.1 / 3.2</x:v>
      </x:c>
    </x:row>
  </x:sheetData>
  <x:pageMargins left="0.7" right="0.7" top="0.75" bottom="0.75" header="0.3" footer="0.3"/>
  <x:tableParts count="1">
    <x:tablePart xmlns:r="http://schemas.openxmlformats.org/officeDocument/2006/relationships" r:id="R7625d8f8514d4b0d"/>
  </x:tableParts>
</x:worksheet>
</file>