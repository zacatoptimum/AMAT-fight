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78c11a246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 Plan" sheetId="1" r:id="R6171494bad2b41d9"/>
    <x:sheet xmlns:r="http://schemas.openxmlformats.org/officeDocument/2006/relationships" name="Interactions" sheetId="2" r:id="R9c6d409597a246b2"/>
    <x:sheet xmlns:r="http://schemas.openxmlformats.org/officeDocument/2006/relationships" name="Comparable Responses" sheetId="3" r:id="Re37563fd54c94967"/>
    <x:sheet xmlns:r="http://schemas.openxmlformats.org/officeDocument/2006/relationships" name="Red Flags" sheetId="4" r:id="R5937e5867fca43cd"/>
    <x:sheet xmlns:r="http://schemas.openxmlformats.org/officeDocument/2006/relationships" name="Feedback Memo" sheetId="5" r:id="R4f0ece4fc7ce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b1da40562424b" /><Relationship Type="http://schemas.openxmlformats.org/officeDocument/2006/relationships/theme" Target="/xl/theme/theme1.xml" Id="R56b0487d2d4b4ce3" /><Relationship Type="http://schemas.openxmlformats.org/officeDocument/2006/relationships/sharedStrings" Target="/xl/sharedStrings.xml" Id="R99edbb7abfe844b8" /><Relationship Type="http://schemas.openxmlformats.org/officeDocument/2006/relationships/worksheet" Target="/xl/worksheets/sheet1.xml" Id="R6171494bad2b41d9" /><Relationship Type="http://schemas.openxmlformats.org/officeDocument/2006/relationships/worksheet" Target="/xl/worksheets/sheet2.xml" Id="R9c6d409597a246b2" /><Relationship Type="http://schemas.openxmlformats.org/officeDocument/2006/relationships/worksheet" Target="/xl/worksheets/sheet3.xml" Id="Re37563fd54c94967" /><Relationship Type="http://schemas.openxmlformats.org/officeDocument/2006/relationships/worksheet" Target="/xl/worksheets/sheet4.xml" Id="R5937e5867fca43cd" /><Relationship Type="http://schemas.openxmlformats.org/officeDocument/2006/relationships/worksheet" Target="/xl/worksheets/sheet5.xml" Id="R4f0ece4fc7ce4453" /></Relationships>
</file>

<file path=xl/tables/table1.xml><?xml version="1.0" encoding="utf-8"?>
<x:table xmlns:x="http://schemas.openxmlformats.org/spreadsheetml/2006/main" id="1" name="ContactPlanTable" displayName="ContactPlanTable" ref="A4:L7" headerRowCount="1" totalsRowCount="0" totalsRowShown="0">
  <x:tableColumns count="12">
    <x:tableColumn id="1" name="Contact ID"/>
    <x:tableColumn id="2" name="Entity ID"/>
    <x:tableColumn id="3" name="Category"/>
    <x:tableColumn id="4" name="Why selected"/>
    <x:tableColumn id="5" name="Disclosure level"/>
    <x:tableColumn id="6" name="Identity allowed"/>
    <x:tableColumn id="7" name="Volume allowed"/>
    <x:tableColumn id="8" name="Site allowed"/>
    <x:tableColumn id="9" name="Contact owner"/>
    <x:tableColumn id="10" name="Reviewer"/>
    <x:tableColumn id="11" name="Status"/>
    <x:tableColumn id="12" name="Stop trigg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actionsTable" displayName="InteractionsTable" ref="A4:O6" headerRowCount="1" totalsRowCount="0" totalsRowShown="0">
  <x:tableColumns count="15">
    <x:tableColumn id="1" name="Interaction ID"/>
    <x:tableColumn id="2" name="Contact ID"/>
    <x:tableColumn id="3" name="Date"/>
    <x:tableColumn id="4" name="Channel"/>
    <x:tableColumn id="5" name="Participants / roles"/>
    <x:tableColumn id="6" name="Purpose"/>
    <x:tableColumn id="7" name="Questions used"/>
    <x:tableColumn id="8" name="Disclosure actually made"/>
    <x:tableColumn id="9" name="Supplier statement summary"/>
    <x:tableColumn id="10" name="Evidence promised"/>
    <x:tableColumn id="11" name="Evidence received"/>
    <x:tableColumn id="12" name="Confidence"/>
    <x:tableColumn id="13" name="Red flag IDs"/>
    <x:tableColumn id="14" name="Next action"/>
    <x:tableColumn id="15" name="Trut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ableResponseTable" displayName="ComparableResponseTable" ref="A4:P6" headerRowCount="1" totalsRowCount="0" totalsRowShown="0">
  <x:tableColumns count="16">
    <x:tableColumn id="1" name="Contact ID"/>
    <x:tableColumn id="2" name="Route"/>
    <x:tableColumn id="3" name="Availability"/>
    <x:tableColumn id="4" name="Maturity"/>
    <x:tableColumn id="5" name="Start / COD"/>
    <x:tableColumn id="6" name="Volume range MWh"/>
    <x:tableColumn id="7" name="Profile"/>
    <x:tableColumn id="8" name="Tenor range"/>
    <x:tableColumn id="9" name="Price structure"/>
    <x:tableColumn id="10" name="Wheeling / meter"/>
    <x:tableColumn id="11" name="Certificate treatment"/>
    <x:tableColumn id="12" name="Credit / guarantee"/>
    <x:tableColumn id="13" name="Evidence status"/>
    <x:tableColumn id="14" name="Validity"/>
    <x:tableColumn id="15" name="Open question"/>
    <x:tableColumn id="16" name="Decision 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dFlagTable" displayName="RedFlagTable" ref="A4:I7" headerRowCount="1" totalsRowCount="0" totalsRowShown="0">
  <x:tableColumns count="9">
    <x:tableColumn id="1" name="Red flag ID"/>
    <x:tableColumn id="2" name="Interaction ID"/>
    <x:tableColumn id="3" name="Trigger"/>
    <x:tableColumn id="4" name="Evidence / exact record"/>
    <x:tableColumn id="5" name="Immediate action"/>
    <x:tableColumn id="6" name="Owner"/>
    <x:tableColumn id="7" name="Escalate to"/>
    <x:tableColumn id="8" name="Status"/>
    <x:tableColumn id="9" name="Resolution / deci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edbackFindingTable" displayName="FeedbackFindingTable" ref="A11:F14" headerRowCount="1" totalsRowCount="0" totalsRowShown="0">
  <x:tableColumns count="6">
    <x:tableColumn id="1" name="Finding"/>
    <x:tableColumn id="2" name="Evidence status"/>
    <x:tableColumn id="3" name="Implication"/>
    <x:tableColumn id="4" name="Recommendation"/>
    <x:tableColumn id="5" name="Owner / next date"/>
    <x:tableColumn id="6" name="Trut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857ed628644f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c2cecc98584a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df6bed7df745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6a3396704641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6535168cbf4d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2" hidden="0" customWidth="1"/>
    <x:col min="5" max="5" width="18" hidden="0" customWidth="1"/>
    <x:col min="6" max="6" width="16" hidden="0" customWidth="1"/>
    <x:col min="7" max="7" width="20" hidden="0" customWidth="1"/>
    <x:col min="8" max="8" width="16" hidden="0" customWidth="1"/>
    <x:col min="9" max="9" width="22" hidden="0" customWidth="1"/>
    <x:col min="10" max="10" width="22" hidden="0" customWidth="1"/>
    <x:col min="11" max="11" width="16" hidden="0" customWidth="1"/>
    <x:col min="12" max="12" width="40" hidden="0" customWidth="1"/>
  </x:cols>
  <x:sheetData>
    <x:row r="2" ht="15" hidden="0" customHeight="1">
      <x:c r="A2" s="15" t="str">
        <x:v>Authorized contact plan — synthetic demonstration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 ht="15" hidden="0" customHeight="1">
      <x:c r="A4" s="18" t="str">
        <x:v>Contact ID</x:v>
      </x:c>
      <x:c r="B4" s="18" t="str">
        <x:v>Entity ID</x:v>
      </x:c>
      <x:c r="C4" s="18" t="str">
        <x:v>Category</x:v>
      </x:c>
      <x:c r="D4" s="18" t="str">
        <x:v>Why selected</x:v>
      </x:c>
      <x:c r="E4" s="18" t="str">
        <x:v>Disclosure level</x:v>
      </x:c>
      <x:c r="F4" s="18" t="str">
        <x:v>Identity allowed</x:v>
      </x:c>
      <x:c r="G4" s="18" t="str">
        <x:v>Volume allowed</x:v>
      </x:c>
      <x:c r="H4" s="18" t="str">
        <x:v>Site allowed</x:v>
      </x:c>
      <x:c r="I4" s="18" t="str">
        <x:v>Contact owner</x:v>
      </x:c>
      <x:c r="J4" s="18" t="str">
        <x:v>Reviewer</x:v>
      </x:c>
      <x:c r="K4" s="18" t="str">
        <x:v>Status</x:v>
      </x:c>
      <x:c r="L4" s="18" t="str">
        <x:v>Stop trigger</x:v>
      </x:c>
    </x:row>
    <x:row r="5" ht="15" hidden="0" customHeight="1">
      <x:c r="A5" s="11" t="str">
        <x:v>CT-DEMO-01</x:v>
      </x:c>
      <x:c r="B5" s="11" t="str">
        <x:v>ENT-DEMO-01</x:v>
      </x:c>
      <x:c r="C5" s="11" t="str">
        <x:v>Retailer interface</x:v>
      </x:c>
      <x:c r="D5" s="11" t="str">
        <x:v>Test bundled route</x:v>
      </x:c>
      <x:c r="E5" s="11" t="str">
        <x:v>Anonymous</x:v>
      </x:c>
      <x:c r="F5" s="11" t="str">
        <x:v>No</x:v>
      </x:c>
      <x:c r="G5" s="11" t="str">
        <x:v>Rounded band only</x:v>
      </x:c>
      <x:c r="H5" s="11" t="str">
        <x:v>No</x:v>
      </x:c>
      <x:c r="I5" s="11" t="str">
        <x:v>Market Lead</x:v>
      </x:c>
      <x:c r="J5" s="11" t="str">
        <x:v>Project Lead</x:v>
      </x:c>
      <x:c r="K5" s="11" t="str">
        <x:v>Planned</x:v>
      </x:c>
      <x:c r="L5" s="11" t="str">
        <x:v>Request exceeds authority</x:v>
      </x:c>
    </x:row>
    <x:row r="6" ht="15" hidden="0" customHeight="1">
      <x:c r="A6" s="12" t="str">
        <x:v>CT-DEMO-02</x:v>
      </x:c>
      <x:c r="B6" s="12" t="str">
        <x:v>ENT-DEMO-02</x:v>
      </x:c>
      <x:c r="C6" s="12" t="str">
        <x:v>Developer / generator</x:v>
      </x:c>
      <x:c r="D6" s="12" t="str">
        <x:v>Test project maturity</x:v>
      </x:c>
      <x:c r="E6" s="12" t="str">
        <x:v>Anonymous</x:v>
      </x:c>
      <x:c r="F6" s="12" t="str">
        <x:v>No</x:v>
      </x:c>
      <x:c r="G6" s="12" t="str">
        <x:v>Rounded band only</x:v>
      </x:c>
      <x:c r="H6" s="12" t="str">
        <x:v>No</x:v>
      </x:c>
      <x:c r="I6" s="12" t="str">
        <x:v>Market Lead</x:v>
      </x:c>
      <x:c r="J6" s="12" t="str">
        <x:v>Project Lead</x:v>
      </x:c>
      <x:c r="K6" s="12" t="str">
        <x:v>Planned</x:v>
      </x:c>
      <x:c r="L6" s="12" t="str">
        <x:v>Requests commitment / exclusivity</x:v>
      </x:c>
    </x:row>
    <x:row r="7" ht="15" hidden="0" customHeight="1">
      <x:c r="A7" s="11" t="str">
        <x:v>CT-DEMO-03</x:v>
      </x:c>
      <x:c r="B7" s="11" t="str">
        <x:v>ENT-DEMO-04</x:v>
      </x:c>
      <x:c r="C7" s="11" t="str">
        <x:v>Portfolio</x:v>
      </x:c>
      <x:c r="D7" s="11" t="str">
        <x:v>Test aggregation</x:v>
      </x:c>
      <x:c r="E7" s="11" t="str">
        <x:v>Anonymous</x:v>
      </x:c>
      <x:c r="F7" s="11" t="str">
        <x:v>No</x:v>
      </x:c>
      <x:c r="G7" s="11" t="str">
        <x:v>Rounded band only</x:v>
      </x:c>
      <x:c r="H7" s="11" t="str">
        <x:v>No</x:v>
      </x:c>
      <x:c r="I7" s="11" t="str">
        <x:v>Market Lead</x:v>
      </x:c>
      <x:c r="J7" s="11" t="str">
        <x:v>Project Lead</x:v>
      </x:c>
      <x:c r="K7" s="11" t="str">
        <x:v>Planned</x:v>
      </x:c>
      <x:c r="L7" s="11" t="str">
        <x:v>Will not identify underlying assets</x:v>
      </x:c>
    </x:row>
  </x:sheetData>
  <x:pageMargins left="0.7" right="0.7" top="0.75" bottom="0.75" header="0.3" footer="0.3"/>
  <x:tableParts count="1">
    <x:tablePart xmlns:r="http://schemas.openxmlformats.org/officeDocument/2006/relationships" r:id="R56857ed628644fb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8" hidden="0" customWidth="1"/>
    <x:col min="5" max="5" width="30" hidden="0" customWidth="1"/>
    <x:col min="6" max="6" width="28" hidden="0" customWidth="1"/>
    <x:col min="7" max="7" width="20" hidden="0" customWidth="1"/>
    <x:col min="8" max="8" width="34" hidden="0" customWidth="1"/>
    <x:col min="9" max="9" width="54" hidden="0" customWidth="1"/>
    <x:col min="10" max="10" width="32" hidden="0" customWidth="1"/>
    <x:col min="11" max="11" width="18" hidden="0" customWidth="1"/>
    <x:col min="12" max="12" width="14" hidden="0" customWidth="1"/>
    <x:col min="13" max="13" width="18" hidden="0" customWidth="1"/>
    <x:col min="14" max="14" width="34" hidden="0" customWidth="1"/>
    <x:col min="15" max="15" width="26" hidden="0" customWidth="1"/>
  </x:cols>
  <x:sheetData>
    <x:row r="2" ht="15" hidden="0" customHeight="1">
      <x:c r="A2" s="15" t="str">
        <x:v>Interaction record — do not overwrite prior statements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15" hidden="0" customHeight="1">
      <x:c r="A4" s="18" t="str">
        <x:v>Interaction ID</x:v>
      </x:c>
      <x:c r="B4" s="18" t="str">
        <x:v>Contact ID</x:v>
      </x:c>
      <x:c r="C4" s="18" t="str">
        <x:v>Date</x:v>
      </x:c>
      <x:c r="D4" s="18" t="str">
        <x:v>Channel</x:v>
      </x:c>
      <x:c r="E4" s="18" t="str">
        <x:v>Participants / roles</x:v>
      </x:c>
      <x:c r="F4" s="18" t="str">
        <x:v>Purpose</x:v>
      </x:c>
      <x:c r="G4" s="18" t="str">
        <x:v>Questions used</x:v>
      </x:c>
      <x:c r="H4" s="18" t="str">
        <x:v>Disclosure actually made</x:v>
      </x:c>
      <x:c r="I4" s="18" t="str">
        <x:v>Supplier statement summary</x:v>
      </x:c>
      <x:c r="J4" s="18" t="str">
        <x:v>Evidence promised</x:v>
      </x:c>
      <x:c r="K4" s="18" t="str">
        <x:v>Evidence received</x:v>
      </x:c>
      <x:c r="L4" s="18" t="str">
        <x:v>Confidence</x:v>
      </x:c>
      <x:c r="M4" s="18" t="str">
        <x:v>Red flag IDs</x:v>
      </x:c>
      <x:c r="N4" s="18" t="str">
        <x:v>Next action</x:v>
      </x:c>
      <x:c r="O4" s="18" t="str">
        <x:v>Truth status</x:v>
      </x:c>
    </x:row>
    <x:row r="5" ht="15" hidden="0" customHeight="1">
      <x:c r="A5" s="11" t="str">
        <x:v>INT-DEMO-01</x:v>
      </x:c>
      <x:c r="B5" s="11" t="str">
        <x:v>CT-DEMO-01</x:v>
      </x:c>
      <x:c r="C5" s="11" t="str">
        <x:v>2026-10-15</x:v>
      </x:c>
      <x:c r="D5" s="11" t="str">
        <x:v>Video / demo</x:v>
      </x:c>
      <x:c r="E5" s="11" t="str">
        <x:v>Market Lead; supplier contact</x:v>
      </x:c>
      <x:c r="F5" s="11" t="str">
        <x:v>Test common questionnaire</x:v>
      </x:c>
      <x:c r="G5" s="11" t="str">
        <x:v>Q1–Q10</x:v>
      </x:c>
      <x:c r="H5" s="11" t="str">
        <x:v>Anonymous need only</x:v>
      </x:c>
      <x:c r="I5" s="11" t="str">
        <x:v>Demo: capability range claimed</x:v>
      </x:c>
      <x:c r="J5" s="11" t="str">
        <x:v>Demo document list</x:v>
      </x:c>
      <x:c r="K5" s="11" t="str">
        <x:v>No</x:v>
      </x:c>
      <x:c r="L5" s="11" t="str">
        <x:v>Low</x:v>
      </x:c>
      <x:c r="M5" s="11" t="str">
        <x:v>RF-DEMO-01</x:v>
      </x:c>
      <x:c r="N5" s="11" t="str">
        <x:v>Obtain written evidence</x:v>
      </x:c>
      <x:c r="O5" s="11" t="str">
        <x:v>SYNTHETIC / DEMO DATA</x:v>
      </x:c>
    </x:row>
    <x:row r="6" ht="15" hidden="0" customHeight="1">
      <x:c r="A6" s="12" t="str">
        <x:v>INT-DEMO-02</x:v>
      </x:c>
      <x:c r="B6" s="12" t="str">
        <x:v>CT-DEMO-02</x:v>
      </x:c>
      <x:c r="C6" s="12" t="str">
        <x:v>2026-10-16</x:v>
      </x:c>
      <x:c r="D6" s="12" t="str">
        <x:v>Email / demo</x:v>
      </x:c>
      <x:c r="E6" s="12" t="str">
        <x:v>Market Lead</x:v>
      </x:c>
      <x:c r="F6" s="12" t="str">
        <x:v>Confirm project evidence path</x:v>
      </x:c>
      <x:c r="G6" s="12" t="str">
        <x:v>Q1–Q10</x:v>
      </x:c>
      <x:c r="H6" s="12" t="str">
        <x:v>Anonymous need only</x:v>
      </x:c>
      <x:c r="I6" s="12" t="str">
        <x:v>Demo: COD range claimed</x:v>
      </x:c>
      <x:c r="J6" s="12" t="str">
        <x:v>Milestone schedule</x:v>
      </x:c>
      <x:c r="K6" s="12" t="str">
        <x:v>No</x:v>
      </x:c>
      <x:c r="L6" s="12" t="str">
        <x:v>Low</x:v>
      </x:c>
      <x:c r="M6" s="12" t="str"/>
      <x:c r="N6" s="12" t="str">
        <x:v>Follow up once</x:v>
      </x:c>
      <x:c r="O6" s="12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05c2cecc98584a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4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24" hidden="0" customWidth="1"/>
    <x:col min="10" max="10" width="30" hidden="0" customWidth="1"/>
    <x:col min="11" max="11" width="28" hidden="0" customWidth="1"/>
    <x:col min="12" max="12" width="24" hidden="0" customWidth="1"/>
    <x:col min="13" max="13" width="20" hidden="0" customWidth="1"/>
    <x:col min="14" max="14" width="16" hidden="0" customWidth="1"/>
    <x:col min="15" max="15" width="38" hidden="0" customWidth="1"/>
    <x:col min="16" max="16" width="28" hidden="0" customWidth="1"/>
  </x:cols>
  <x:sheetData>
    <x:row r="2" ht="15" hidden="0" customHeight="1">
      <x:c r="A2" s="15" t="str">
        <x:v>Comparable market-sounding responses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4" ht="15" hidden="0" customHeight="1">
      <x:c r="A4" s="18" t="str">
        <x:v>Contact ID</x:v>
      </x:c>
      <x:c r="B4" s="18" t="str">
        <x:v>Route</x:v>
      </x:c>
      <x:c r="C4" s="18" t="str">
        <x:v>Availability</x:v>
      </x:c>
      <x:c r="D4" s="18" t="str">
        <x:v>Maturity</x:v>
      </x:c>
      <x:c r="E4" s="18" t="str">
        <x:v>Start / COD</x:v>
      </x:c>
      <x:c r="F4" s="18" t="str">
        <x:v>Volume range MWh</x:v>
      </x:c>
      <x:c r="G4" s="18" t="str">
        <x:v>Profile</x:v>
      </x:c>
      <x:c r="H4" s="18" t="str">
        <x:v>Tenor range</x:v>
      </x:c>
      <x:c r="I4" s="18" t="str">
        <x:v>Price structure</x:v>
      </x:c>
      <x:c r="J4" s="18" t="str">
        <x:v>Wheeling / meter</x:v>
      </x:c>
      <x:c r="K4" s="18" t="str">
        <x:v>Certificate treatment</x:v>
      </x:c>
      <x:c r="L4" s="18" t="str">
        <x:v>Credit / guarantee</x:v>
      </x:c>
      <x:c r="M4" s="18" t="str">
        <x:v>Evidence status</x:v>
      </x:c>
      <x:c r="N4" s="18" t="str">
        <x:v>Validity</x:v>
      </x:c>
      <x:c r="O4" s="18" t="str">
        <x:v>Open question</x:v>
      </x:c>
      <x:c r="P4" s="18" t="str">
        <x:v>Decision use</x:v>
      </x:c>
    </x:row>
    <x:row r="5" ht="15" hidden="0" customHeight="1">
      <x:c r="A5" s="11" t="str">
        <x:v>CT-DEMO-01</x:v>
      </x:c>
      <x:c r="B5" s="11" t="str">
        <x:v>Bundled retailer demo</x:v>
      </x:c>
      <x:c r="C5" s="11" t="str">
        <x:v>Unverified</x:v>
      </x:c>
      <x:c r="D5" s="11" t="str">
        <x:v>Unverified</x:v>
      </x:c>
      <x:c r="E5" s="11" t="str">
        <x:v>2027 range</x:v>
      </x:c>
      <x:c r="F5" s="11" t="n">
        <x:v>18000</x:v>
      </x:c>
      <x:c r="G5" s="11" t="str">
        <x:v>Shaped / TBD</x:v>
      </x:c>
      <x:c r="H5" s="11" t="str">
        <x:v>3–7</x:v>
      </x:c>
      <x:c r="I5" s="11" t="str">
        <x:v>Fixed + index / demo</x:v>
      </x:c>
      <x:c r="J5" s="11" t="str">
        <x:v>Required / details TBD</x:v>
      </x:c>
      <x:c r="K5" s="11" t="str">
        <x:v>Bundled / verify</x:v>
      </x:c>
      <x:c r="L5" s="11" t="str">
        <x:v>TBD</x:v>
      </x:c>
      <x:c r="M5" s="11" t="str">
        <x:v>Promised</x:v>
      </x:c>
      <x:c r="N5" s="11" t="str">
        <x:v>TBD</x:v>
      </x:c>
      <x:c r="O5" s="11" t="str">
        <x:v>Underlying asset / control</x:v>
      </x:c>
      <x:c r="P5" s="11" t="str">
        <x:v>2.3 / 2.5 field test</x:v>
      </x:c>
    </x:row>
    <x:row r="6" ht="15" hidden="0" customHeight="1">
      <x:c r="A6" s="12" t="str">
        <x:v>CT-DEMO-02</x:v>
      </x:c>
      <x:c r="B6" s="12" t="str">
        <x:v>Project-linked demo</x:v>
      </x:c>
      <x:c r="C6" s="12" t="str">
        <x:v>Unverified</x:v>
      </x:c>
      <x:c r="D6" s="12" t="str">
        <x:v>Development / unverified</x:v>
      </x:c>
      <x:c r="E6" s="12" t="str">
        <x:v>2029 range</x:v>
      </x:c>
      <x:c r="F6" s="12" t="n">
        <x:v>32000</x:v>
      </x:c>
      <x:c r="G6" s="12" t="str">
        <x:v>As-generated</x:v>
      </x:c>
      <x:c r="H6" s="12" t="str">
        <x:v>10–20</x:v>
      </x:c>
      <x:c r="I6" s="12" t="str">
        <x:v>Escalation / demo</x:v>
      </x:c>
      <x:c r="J6" s="12" t="str">
        <x:v>COD + wheeling</x:v>
      </x:c>
      <x:c r="K6" s="12" t="str">
        <x:v>Bundled / verify</x:v>
      </x:c>
      <x:c r="L6" s="12" t="str">
        <x:v>TBD</x:v>
      </x:c>
      <x:c r="M6" s="12" t="str">
        <x:v>Promised</x:v>
      </x:c>
      <x:c r="N6" s="12" t="str">
        <x:v>TBD</x:v>
      </x:c>
      <x:c r="O6" s="12" t="str">
        <x:v>Milestones / delay remedy</x:v>
      </x:c>
      <x:c r="P6" s="12" t="str">
        <x:v>2.4 field test</x:v>
      </x:c>
    </x:row>
  </x:sheetData>
  <x:pageMargins left="0.7" right="0.7" top="0.75" bottom="0.75" header="0.3" footer="0.3"/>
  <x:tableParts count="1">
    <x:tablePart xmlns:r="http://schemas.openxmlformats.org/officeDocument/2006/relationships" r:id="Rf0df6bed7df745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8" hidden="0" customWidth="1"/>
    <x:col min="4" max="4" width="42" hidden="0" customWidth="1"/>
    <x:col min="5" max="5" width="42" hidden="0" customWidth="1"/>
    <x:col min="6" max="6" width="22" hidden="0" customWidth="1"/>
    <x:col min="7" max="7" width="34" hidden="0" customWidth="1"/>
    <x:col min="8" max="8" width="16" hidden="0" customWidth="1"/>
    <x:col min="9" max="9" width="40" hidden="0" customWidth="1"/>
  </x:cols>
  <x:sheetData>
    <x:row r="2" ht="15" hidden="0" customHeight="1">
      <x:c r="A2" s="15" t="str">
        <x:v>Red flag and escalation log</x:v>
      </x:c>
      <x:c r="B2" s="16"/>
      <x:c r="C2" s="16"/>
      <x:c r="D2" s="16"/>
      <x:c r="E2" s="16"/>
      <x:c r="F2" s="16"/>
      <x:c r="G2" s="16"/>
      <x:c r="H2" s="16"/>
      <x:c r="I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</x:row>
    <x:row r="4" ht="15" hidden="0" customHeight="1">
      <x:c r="A4" s="18" t="str">
        <x:v>Red flag ID</x:v>
      </x:c>
      <x:c r="B4" s="18" t="str">
        <x:v>Interaction ID</x:v>
      </x:c>
      <x:c r="C4" s="18" t="str">
        <x:v>Trigger</x:v>
      </x:c>
      <x:c r="D4" s="18" t="str">
        <x:v>Evidence / exact record</x:v>
      </x:c>
      <x:c r="E4" s="18" t="str">
        <x:v>Immediate action</x:v>
      </x:c>
      <x:c r="F4" s="18" t="str">
        <x:v>Owner</x:v>
      </x:c>
      <x:c r="G4" s="18" t="str">
        <x:v>Escalate to</x:v>
      </x:c>
      <x:c r="H4" s="18" t="str">
        <x:v>Status</x:v>
      </x:c>
      <x:c r="I4" s="18" t="str">
        <x:v>Resolution / decision</x:v>
      </x:c>
    </x:row>
    <x:row r="5" ht="15" hidden="0" customHeight="1">
      <x:c r="A5" s="11" t="str">
        <x:v>RF-DEMO-01</x:v>
      </x:c>
      <x:c r="B5" s="11" t="str">
        <x:v>INT-DEMO-01</x:v>
      </x:c>
      <x:c r="C5" s="11" t="str">
        <x:v>Material capability not supported in writing</x:v>
      </x:c>
      <x:c r="D5" s="11" t="str">
        <x:v>Demo statement only</x:v>
      </x:c>
      <x:c r="E5" s="11" t="str">
        <x:v>Do not use as verified; request evidence</x:v>
      </x:c>
      <x:c r="F5" s="11" t="str">
        <x:v>Market Lead</x:v>
      </x:c>
      <x:c r="G5" s="11" t="str">
        <x:v>Project Lead</x:v>
      </x:c>
      <x:c r="H5" s="11" t="str">
        <x:v>Open</x:v>
      </x:c>
      <x:c r="I5" s="11" t="str">
        <x:v>SYNTHETIC / DEMO DATA</x:v>
      </x:c>
    </x:row>
    <x:row r="6" ht="15" hidden="0" customHeight="1">
      <x:c r="A6" s="12" t="str">
        <x:v>RF-CTRL-01</x:v>
      </x:c>
      <x:c r="B6" s="12" t="str"/>
      <x:c r="C6" s="12" t="str">
        <x:v>Request for competitor confidential offer</x:v>
      </x:c>
      <x:c r="D6" s="12" t="str">
        <x:v>If encountered</x:v>
      </x:c>
      <x:c r="E6" s="12" t="str">
        <x:v>Stop discussion; record and escalate</x:v>
      </x:c>
      <x:c r="F6" s="12" t="str">
        <x:v>Any participant</x:v>
      </x:c>
      <x:c r="G6" s="12" t="str">
        <x:v>Project Lead / Client Procurement</x:v>
      </x:c>
      <x:c r="H6" s="12" t="str">
        <x:v>Control</x:v>
      </x:c>
      <x:c r="I6" s="12" t="str">
        <x:v>Never disclose</x:v>
      </x:c>
    </x:row>
    <x:row r="7" ht="15" hidden="0" customHeight="1">
      <x:c r="A7" s="11" t="str">
        <x:v>RF-CTRL-02</x:v>
      </x:c>
      <x:c r="B7" s="11" t="str"/>
      <x:c r="C7" s="11" t="str">
        <x:v>False commitment / exclusivity pressure</x:v>
      </x:c>
      <x:c r="D7" s="11" t="str">
        <x:v>If encountered</x:v>
      </x:c>
      <x:c r="E7" s="11" t="str">
        <x:v>Restate non-binding status; stop if repeated</x:v>
      </x:c>
      <x:c r="F7" s="11" t="str">
        <x:v>Meeting lead</x:v>
      </x:c>
      <x:c r="G7" s="11" t="str">
        <x:v>Project Lead / Legal</x:v>
      </x:c>
      <x:c r="H7" s="11" t="str">
        <x:v>Control</x:v>
      </x:c>
      <x:c r="I7" s="11" t="str">
        <x:v>Client decides continuation</x:v>
      </x:c>
    </x:row>
  </x:sheetData>
  <x:pageMargins left="0.7" right="0.7" top="0.75" bottom="0.75" header="0.3" footer="0.3"/>
  <x:tableParts count="1">
    <x:tablePart xmlns:r="http://schemas.openxmlformats.org/officeDocument/2006/relationships" r:id="Ra26a33967046413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46" hidden="0" customWidth="1"/>
    <x:col min="4" max="4" width="42" hidden="0" customWidth="1"/>
    <x:col min="5" max="5" width="32" hidden="0" customWidth="1"/>
    <x:col min="6" max="6" width="26" hidden="0" customWidth="1"/>
  </x:cols>
  <x:sheetData>
    <x:row r="2" ht="15" hidden="0" customHeight="1">
      <x:c r="A2" s="15" t="str">
        <x:v>Market feedback memo — synthetic demonstration</x:v>
      </x:c>
      <x:c r="B2" s="16"/>
      <x:c r="C2" s="16"/>
      <x:c r="D2" s="16"/>
      <x:c r="E2" s="16"/>
      <x:c r="F2" s="16"/>
      <x:c r="G2" s="16"/>
      <x:c r="H2" s="16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</x:row>
    <x:row r="4" ht="15" hidden="0" customHeight="1">
      <x:c r="A4" s="19" t="str">
        <x:v>Metric</x:v>
      </x:c>
      <x:c r="B4" s="19" t="str">
        <x:v>Value</x:v>
      </x:c>
      <x:c r="C4" s="16"/>
      <x:c r="D4" s="16"/>
      <x:c r="E4" s="16"/>
      <x:c r="F4" s="16"/>
      <x:c r="G4" s="16"/>
      <x:c r="H4" s="16"/>
    </x:row>
    <x:row r="5" ht="15" hidden="0" customHeight="1">
      <x:c r="A5" s="16" t="str">
        <x:v>Planned contacts</x:v>
      </x:c>
      <x:c r="B5" s="16" t="n">
        <x:f>COUNTA('Contact Plan'!A5:A7)</x:f>
        <x:v>3</x:v>
      </x:c>
      <x:c r="C5" s="16"/>
      <x:c r="D5" s="16"/>
      <x:c r="E5" s="16"/>
      <x:c r="F5" s="16"/>
      <x:c r="G5" s="16"/>
      <x:c r="H5" s="16"/>
    </x:row>
    <x:row r="6" ht="15" hidden="0" customHeight="1">
      <x:c r="A6" s="16" t="str">
        <x:v>Interactions recorded</x:v>
      </x:c>
      <x:c r="B6" s="16" t="n">
        <x:f>COUNTA(Interactions!A5:A6)</x:f>
        <x:v>2</x:v>
      </x:c>
      <x:c r="C6" s="16"/>
      <x:c r="D6" s="16"/>
      <x:c r="E6" s="16"/>
      <x:c r="F6" s="16"/>
      <x:c r="G6" s="16"/>
      <x:c r="H6" s="16"/>
    </x:row>
    <x:row r="7" ht="15" hidden="0" customHeight="1">
      <x:c r="A7" s="16" t="str">
        <x:v>Open red flags</x:v>
      </x:c>
      <x:c r="B7" s="16" t="n">
        <x:f>COUNTIF('Red Flags'!H5:H7,"Open")</x:f>
        <x:v>1</x:v>
      </x:c>
      <x:c r="C7" s="16"/>
      <x:c r="D7" s="16"/>
      <x:c r="E7" s="16"/>
      <x:c r="F7" s="16"/>
      <x:c r="G7" s="16"/>
      <x:c r="H7" s="16"/>
    </x:row>
    <x:row r="8" ht="15" hidden="0" customHeight="1">
      <x:c r="A8" s="16" t="str">
        <x:v>Evidence received</x:v>
      </x:c>
      <x:c r="B8" s="16" t="n">
        <x:f>COUNTIF(Interactions!K5:K6,"Yes")</x:f>
        <x:v>0</x:v>
      </x:c>
      <x:c r="C8" s="16"/>
      <x:c r="D8" s="16"/>
      <x:c r="E8" s="16"/>
      <x:c r="F8" s="16"/>
      <x:c r="G8" s="16"/>
      <x:c r="H8" s="16"/>
    </x:row>
    <x:row r="9" ht="15" hidden="0" customHeight="1">
      <x:c r="A9" s="16"/>
      <x:c r="B9" s="16"/>
      <x:c r="C9" s="16"/>
      <x:c r="D9" s="16"/>
      <x:c r="E9" s="16"/>
      <x:c r="F9" s="16"/>
      <x:c r="G9" s="16"/>
      <x:c r="H9" s="16"/>
    </x:row>
    <x:row r="10" ht="15" hidden="0" customHeight="1">
      <x:c r="A10" s="16"/>
      <x:c r="B10" s="16"/>
      <x:c r="C10" s="16"/>
      <x:c r="D10" s="16"/>
      <x:c r="E10" s="16"/>
      <x:c r="F10" s="16"/>
      <x:c r="G10" s="16"/>
      <x:c r="H10" s="16"/>
    </x:row>
    <x:row r="11" ht="15" hidden="0" customHeight="1">
      <x:c r="A11" s="18" t="str">
        <x:v>Finding</x:v>
      </x:c>
      <x:c r="B11" s="18" t="str">
        <x:v>Evidence status</x:v>
      </x:c>
      <x:c r="C11" s="18" t="str">
        <x:v>Implication</x:v>
      </x:c>
      <x:c r="D11" s="18" t="str">
        <x:v>Recommendation</x:v>
      </x:c>
      <x:c r="E11" s="18" t="str">
        <x:v>Owner / next date</x:v>
      </x:c>
      <x:c r="F11" s="18" t="str">
        <x:v>Truth status</x:v>
      </x:c>
      <x:c r="G11" s="16"/>
      <x:c r="H11" s="16"/>
    </x:row>
    <x:row r="12" ht="15" hidden="0" customHeight="1">
      <x:c r="A12" s="11" t="str">
        <x:v>Route / asset decomposition is required</x:v>
      </x:c>
      <x:c r="B12" s="11" t="str">
        <x:v>Demo tracker structure only</x:v>
      </x:c>
      <x:c r="C12" s="11" t="str">
        <x:v>RFQ must require stable IDs and control evidence</x:v>
      </x:c>
      <x:c r="D12" s="11" t="str">
        <x:v>Retain as mandatory field</x:v>
      </x:c>
      <x:c r="E12" s="11" t="str">
        <x:v>Procurement — TBD</x:v>
      </x:c>
      <x:c r="F12" s="11" t="str">
        <x:v>HYPOTHESIS</x:v>
      </x:c>
      <x:c r="G12" s="16"/>
      <x:c r="H12" s="16"/>
    </x:row>
    <x:row r="13" ht="15" hidden="0" customHeight="1">
      <x:c r="A13" s="12" t="str">
        <x:v>Availability cannot be inferred from company capability</x:v>
      </x:c>
      <x:c r="B13" s="12" t="str">
        <x:v>No real market evidence yet</x:v>
      </x:c>
      <x:c r="C13" s="12" t="str">
        <x:v>Do not build volume plan from public claims</x:v>
      </x:c>
      <x:c r="D13" s="12" t="str">
        <x:v>Require written evidence</x:v>
      </x:c>
      <x:c r="E13" s="12" t="str">
        <x:v>Market Lead — TBD</x:v>
      </x:c>
      <x:c r="F13" s="12" t="str">
        <x:v>RESEARCH REQUIRED</x:v>
      </x:c>
      <x:c r="G13" s="16"/>
      <x:c r="H13" s="16"/>
    </x:row>
    <x:row r="14" ht="15" hidden="0" customHeight="1">
      <x:c r="A14" s="11" t="str">
        <x:v>2.2 expansion</x:v>
      </x:c>
      <x:c r="B14" s="11" t="str">
        <x:v>G5 authorization not confirmed</x:v>
      </x:c>
      <x:c r="C14" s="11" t="str">
        <x:v>Named outreach not yet authorized</x:v>
      </x:c>
      <x:c r="D14" s="11" t="str">
        <x:v>Approve / condition / defer</x:v>
      </x:c>
      <x:c r="E14" s="11" t="str">
        <x:v>Client decision body — TBD</x:v>
      </x:c>
      <x:c r="F14" s="11" t="str">
        <x:v>TBD WITH CLIENT</x:v>
      </x:c>
      <x:c r="G14" s="16"/>
      <x:c r="H14" s="16"/>
    </x:row>
  </x:sheetData>
  <x:pageMargins left="0.7" right="0.7" top="0.75" bottom="0.75" header="0.3" footer="0.3"/>
  <x:tableParts count="1">
    <x:tablePart xmlns:r="http://schemas.openxmlformats.org/officeDocument/2006/relationships" r:id="R186535168cbf4d0d"/>
  </x:tableParts>
</x:worksheet>
</file>