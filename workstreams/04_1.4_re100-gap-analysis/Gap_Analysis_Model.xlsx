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be04e7a30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d2dda427fae4080"/>
    <x:sheet xmlns:r="http://schemas.openxmlformats.org/officeDocument/2006/relationships" name="Assumptions" sheetId="2" r:id="Re5eeb5a5563c4751"/>
    <x:sheet xmlns:r="http://schemas.openxmlformats.org/officeDocument/2006/relationships" name="Site Load" sheetId="3" r:id="R5051d8742a3d497f"/>
    <x:sheet xmlns:r="http://schemas.openxmlformats.org/officeDocument/2006/relationships" name="Existing Procurement" sheetId="4" r:id="R4c6bb79ee3674b0c"/>
    <x:sheet xmlns:r="http://schemas.openxmlformats.org/officeDocument/2006/relationships" name="Gap Analysis" sheetId="5" r:id="R729d36e2d6094142"/>
    <x:sheet xmlns:r="http://schemas.openxmlformats.org/officeDocument/2006/relationships" name="Sensitivity" sheetId="6" r:id="R849f8036a4684aa8"/>
    <x:sheet xmlns:r="http://schemas.openxmlformats.org/officeDocument/2006/relationships" name="Management Summary" sheetId="7" r:id="Refece5e2af95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%"/>
    <x:numFmt numFmtId="203" formatCode="#,##0 &quot;MWh&quot;"/>
  </x:numFmts>
  <x:fonts count="7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4" fillId="4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3" borderId="3" xfId="0" applyNumberFormat="1" applyFont="1" applyFill="1" applyBorder="1" applyAlignment="1">
      <x:alignment vertical="center" wrapText="1"/>
    </x:xf>
    <x:xf numFmtId="201" fontId="4" fillId="4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2" fontId="4" fillId="3" borderId="3" xfId="0" applyNumberFormat="1" applyFont="1" applyFill="1" applyBorder="1" applyAlignment="1">
      <x:alignment vertical="center" wrapText="1"/>
    </x:xf>
    <x:xf numFmtId="202" fontId="4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203" fontId="3" fillId="0" borderId="3" xfId="0" applyNumberFormat="1" applyFont="1" applyFill="1" applyBorder="1"/>
    <x:xf numFmtId="202" fontId="3" fillId="0" borderId="3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3" fontId="3" fillId="0" borderId="3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9841ad16f4ec7" /><Relationship Type="http://schemas.openxmlformats.org/officeDocument/2006/relationships/theme" Target="/xl/theme/theme1.xml" Id="R35cffd28114e451f" /><Relationship Type="http://schemas.openxmlformats.org/officeDocument/2006/relationships/sharedStrings" Target="/xl/sharedStrings.xml" Id="R22a542f506f84650" /><Relationship Type="http://schemas.openxmlformats.org/officeDocument/2006/relationships/worksheet" Target="/xl/worksheets/sheet1.xml" Id="Rdd2dda427fae4080" /><Relationship Type="http://schemas.openxmlformats.org/officeDocument/2006/relationships/worksheet" Target="/xl/worksheets/sheet2.xml" Id="Re5eeb5a5563c4751" /><Relationship Type="http://schemas.openxmlformats.org/officeDocument/2006/relationships/worksheet" Target="/xl/worksheets/sheet3.xml" Id="R5051d8742a3d497f" /><Relationship Type="http://schemas.openxmlformats.org/officeDocument/2006/relationships/worksheet" Target="/xl/worksheets/sheet4.xml" Id="R4c6bb79ee3674b0c" /><Relationship Type="http://schemas.openxmlformats.org/officeDocument/2006/relationships/worksheet" Target="/xl/worksheets/sheet5.xml" Id="R729d36e2d6094142" /><Relationship Type="http://schemas.openxmlformats.org/officeDocument/2006/relationships/worksheet" Target="/xl/worksheets/sheet6.xml" Id="R849f8036a4684aa8" /><Relationship Type="http://schemas.openxmlformats.org/officeDocument/2006/relationships/worksheet" Target="/xl/worksheets/sheet7.xml" Id="Refece5e2af954a7f" /></Relationships>
</file>

<file path=xl/tables/table1.xml><?xml version="1.0" encoding="utf-8"?>
<x:table xmlns:x="http://schemas.openxmlformats.org/spreadsheetml/2006/main" id="1" name="GapAssumptionsTable" displayName="GapAssumptionsTable" ref="A4:H9" headerRowCount="1" totalsRowCount="0" totalsRowShown="0">
  <x:autoFilter ref="A4:H9"/>
  <x:tableColumns count="8">
    <x:tableColumn id="1" name="Year"/>
    <x:tableColumn id="2" name="Target %"/>
    <x:tableColumn id="3" name="Load growth reference"/>
    <x:tableColumn id="4" name="Period basis"/>
    <x:tableColumn id="5" name="Truth status"/>
    <x:tableColumn id="6" name="Approval owner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LoadTable" displayName="SiteLoadTable" ref="A4:I14" headerRowCount="1" totalsRowCount="0" totalsRowShown="0">
  <x:autoFilter ref="A4:I14"/>
  <x:tableColumns count="9">
    <x:tableColumn id="1" name="Load ID"/>
    <x:tableColumn id="2" name="Year"/>
    <x:tableColumn id="3" name="Site ID"/>
    <x:tableColumn id="4" name="Gross load MWh"/>
    <x:tableColumn id="5" name="Actual / Forecast"/>
    <x:tableColumn id="6" name="Source ID"/>
    <x:tableColumn id="7" name="Quality status"/>
    <x:tableColumn id="8" name="Truth status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istingProcurementTable" displayName="ExistingProcurementTable" ref="A4:K11" headerRowCount="1" totalsRowCount="0" totalsRowShown="0">
  <x:autoFilter ref="A4:K11"/>
  <x:tableColumns count="11">
    <x:tableColumn id="1" name="Instrument ID"/>
    <x:tableColumn id="2" name="Year"/>
    <x:tableColumn id="3" name="Instrument"/>
    <x:tableColumn id="4" name="Contracted MWh"/>
    <x:tableColumn id="5" name="Delivery factor"/>
    <x:tableColumn id="6" name="Eligibility factor"/>
    <x:tableColumn id="7" name="Planning eligible MWh"/>
    <x:tableColumn id="8" name="Source ID"/>
    <x:tableColumn id="9" name="Quality status"/>
    <x:tableColumn id="10" name="Truth status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pAnalysisTable" displayName="GapAnalysisTable" ref="A4:J9" headerRowCount="1" totalsRowCount="0" totalsRowShown="0">
  <x:autoFilter ref="A4:J9"/>
  <x:tableColumns count="10">
    <x:tableColumn id="1" name="Year"/>
    <x:tableColumn id="2" name="Total load MWh"/>
    <x:tableColumn id="3" name="Target %"/>
    <x:tableColumn id="4" name="Target renewable MWh"/>
    <x:tableColumn id="5" name="Existing eligible MWh"/>
    <x:tableColumn id="6" name="Residual gap MWh"/>
    <x:tableColumn id="7" name="Coverage %"/>
    <x:tableColumn id="8" name="Over-coverage MWh"/>
    <x:tableColumn id="9" name="Decision status"/>
    <x:tableColumn id="10" name="Truth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pSensitivityTable" displayName="GapSensitivityTable" ref="A4:J24" headerRowCount="1" totalsRowCount="0" totalsRowShown="0">
  <x:autoFilter ref="A4:J24"/>
  <x:tableColumns count="10">
    <x:tableColumn id="1" name="Year"/>
    <x:tableColumn id="2" name="Case"/>
    <x:tableColumn id="3" name="Load factor"/>
    <x:tableColumn id="4" name="Existing delivery factor"/>
    <x:tableColumn id="5" name="Base target MWh"/>
    <x:tableColumn id="6" name="Base existing eligible MWh"/>
    <x:tableColumn id="7" name="Case target MWh"/>
    <x:tableColumn id="8" name="Case existing MWh"/>
    <x:tableColumn id="9" name="Residual gap MWh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3DecisionTable" displayName="G3DecisionTable" ref="A13:E17" headerRowCount="1" totalsRowCount="0" totalsRowShown="0">
  <x:autoFilter ref="A13:E17"/>
  <x:tableColumns count="5">
    <x:tableColumn id="1" name="G3 decision"/>
    <x:tableColumn id="2" name="Required evidence"/>
    <x:tableColumn id="3" name="Owner"/>
    <x:tableColumn id="4" name="Status"/>
    <x:tableColumn id="5" name="Handoff if appro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4573340f8c48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4c92e370ba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04520034c46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a0c9f23e2044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1f8ee737574b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33a3c2111145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26" hidden="0" customWidth="1"/>
    <x:col min="4" max="4" width="24" hidden="0" customWidth="1"/>
    <x:col min="5" max="5" width="40" hidden="0" customWidth="1"/>
    <x:col min="6" max="6" width="34" hidden="0" customWidth="1"/>
  </x:cols>
  <x:sheetData>
    <x:row r="1" ht="8" customHeight="1"/>
    <x:row r="2" ht="15" hidden="0" customHeight="1">
      <x:c r="A2" s="36" t="str">
        <x:v>RE100 gap analysis model — v0.1</x:v>
      </x:c>
      <x:c r="B2" s="37"/>
      <x:c r="C2" s="37"/>
      <x:c r="D2" s="37"/>
      <x:c r="E2" s="37"/>
      <x:c r="F2" s="37"/>
    </x:row>
    <x:row r="3" ht="15" hidden="0" customHeight="1">
      <x:c r="A3" s="38"/>
      <x:c r="B3" s="38"/>
      <x:c r="C3" s="38"/>
      <x:c r="D3" s="38"/>
      <x:c r="E3" s="38"/>
      <x:c r="F3" s="38"/>
    </x:row>
    <x:row r="4" ht="15" hidden="0" customHeight="1">
      <x:c r="A4" s="39" t="str">
        <x:v>Rule</x:v>
      </x:c>
      <x:c r="B4" s="39" t="str">
        <x:v>Required practice</x:v>
      </x:c>
      <x:c r="C4" s="39" t="str">
        <x:v>Truth status</x:v>
      </x:c>
      <x:c r="D4" s="39" t="str">
        <x:v>Owner</x:v>
      </x:c>
      <x:c r="E4" s="39" t="str">
        <x:v>Decision effect</x:v>
      </x:c>
      <x:c r="F4" s="39" t="str">
        <x:v>Current v0.1</x:v>
      </x:c>
    </x:row>
    <x:row r="5" ht="15" hidden="0" customHeight="1">
      <x:c r="A5" s="40" t="str">
        <x:v>Demo boundary</x:v>
      </x:c>
      <x:c r="B5" s="40" t="str">
        <x:v>Replace all site, target and procurement rows before client use</x:v>
      </x:c>
      <x:c r="C5" s="40" t="str">
        <x:v>SYNTHETIC / DEMO DATA</x:v>
      </x:c>
      <x:c r="D5" s="40" t="str">
        <x:v>Analysis Lead</x:v>
      </x:c>
      <x:c r="E5" s="40" t="str">
        <x:v>Prevents demo values becoming facts</x:v>
      </x:c>
      <x:c r="F5" s="40" t="str">
        <x:v>Two fictional sites; 2026–2030</x:v>
      </x:c>
    </x:row>
    <x:row r="6" ht="15" hidden="0" customHeight="1">
      <x:c r="A6" s="40" t="str">
        <x:v>Target</x:v>
      </x:c>
      <x:c r="B6" s="40" t="str">
        <x:v>Use formal policy source and named owner approval</x:v>
      </x:c>
      <x:c r="C6" s="40" t="str">
        <x:v>TBD WITH CLIENT</x:v>
      </x:c>
      <x:c r="D6" s="40" t="str">
        <x:v>Sustainability owner</x:v>
      </x:c>
      <x:c r="E6" s="40" t="str">
        <x:v>Controls required renewable MWh</x:v>
      </x:c>
      <x:c r="F6" s="40" t="str">
        <x:v>Illustrative curve only</x:v>
      </x:c>
    </x:row>
    <x:row r="7" ht="15" hidden="0" customHeight="1">
      <x:c r="A7" s="40" t="str">
        <x:v>Existing coverage</x:v>
      </x:c>
      <x:c r="B7" s="40" t="str">
        <x:v>Separate contracted, expected, delivered, eligible and claimed</x:v>
      </x:c>
      <x:c r="C7" s="40" t="str">
        <x:v>TBD WITH CLIENT</x:v>
      </x:c>
      <x:c r="D7" s="40" t="str">
        <x:v>Procurement / Sustainability</x:v>
      </x:c>
      <x:c r="E7" s="40" t="str">
        <x:v>Controls numerator</x:v>
      </x:c>
      <x:c r="F7" s="40" t="str">
        <x:v>Planning eligible = contracted × factors</x:v>
      </x:c>
    </x:row>
    <x:row r="8" ht="15" hidden="0" customHeight="1">
      <x:c r="A8" s="40" t="str">
        <x:v>Data quality</x:v>
      </x:c>
      <x:c r="B8" s="40" t="str">
        <x:v>Record source, version, gaps, reconciliation and disposition</x:v>
      </x:c>
      <x:c r="C8" s="40" t="str">
        <x:v>KNOWN method</x:v>
      </x:c>
      <x:c r="D8" s="40" t="str">
        <x:v>Data Lead</x:v>
      </x:c>
      <x:c r="E8" s="40" t="str">
        <x:v>Determines whether G3 is conditional</x:v>
      </x:c>
      <x:c r="F8" s="40" t="str">
        <x:v>Demo rows marked Pass / condition</x:v>
      </x:c>
    </x:row>
    <x:row r="9" ht="15" hidden="0" customHeight="1">
      <x:c r="A9" s="40" t="str">
        <x:v>Sensitivity</x:v>
      </x:c>
      <x:c r="B9" s="40" t="str">
        <x:v>Use client evidence to replace demo factors</x:v>
      </x:c>
      <x:c r="C9" s="40" t="str">
        <x:v>HYPOTHESIS</x:v>
      </x:c>
      <x:c r="D9" s="40" t="str">
        <x:v>Finance / Facilities</x:v>
      </x:c>
      <x:c r="E9" s="40" t="str">
        <x:v>Shows planning range</x:v>
      </x:c>
      <x:c r="F9" s="40" t="str">
        <x:v>+5% load; -10% delivery demo</x:v>
      </x:c>
    </x:row>
    <x:row r="10" ht="15" hidden="0" customHeight="1">
      <x:c r="A10" s="40" t="str">
        <x:v>Approval</x:v>
      </x:c>
      <x:c r="B10" s="40" t="str">
        <x:v>Record approve / conditional / reject in decision log</x:v>
      </x:c>
      <x:c r="C10" s="40" t="str">
        <x:v>TBD WITH CLIENT</x:v>
      </x:c>
      <x:c r="D10" s="40" t="str">
        <x:v>G3 decision body</x:v>
      </x:c>
      <x:c r="E10" s="40" t="str">
        <x:v>Authorizes handoff to 1.5</x:v>
      </x:c>
      <x:c r="F10" s="40" t="str">
        <x:v>No client approval yet</x:v>
      </x:c>
    </x:row>
    <x:row r="11" ht="15" hidden="0" customHeight="1">
      <x:c r="A11" s="37"/>
      <x:c r="B11" s="37"/>
      <x:c r="C11" s="37"/>
      <x:c r="D11" s="37"/>
      <x:c r="E11" s="37"/>
      <x:c r="F11" s="37"/>
    </x:row>
    <x:row r="12" ht="15" hidden="0" customHeight="1">
      <x:c r="A12" s="41" t="str">
        <x:v>Refresh sequence</x:v>
      </x:c>
      <x:c r="B12" s="41" t="str"/>
      <x:c r="C12" s="37"/>
      <x:c r="D12" s="37"/>
      <x:c r="E12" s="37"/>
      <x:c r="F12" s="37"/>
    </x:row>
    <x:row r="13" ht="15" hidden="0" customHeight="1">
      <x:c r="A13" s="40" t="str">
        <x:v>1</x:v>
      </x:c>
      <x:c r="B13" s="40" t="str">
        <x:v>Confirm boundary and target owner</x:v>
      </x:c>
      <x:c r="C13" s="37"/>
      <x:c r="D13" s="37"/>
      <x:c r="E13" s="37"/>
      <x:c r="F13" s="37"/>
    </x:row>
    <x:row r="14" ht="15" hidden="0" customHeight="1">
      <x:c r="A14" s="40" t="str">
        <x:v>2</x:v>
      </x:c>
      <x:c r="B14" s="40" t="str">
        <x:v>Replace demo load / procurement rows</x:v>
      </x:c>
      <x:c r="C14" s="37"/>
      <x:c r="D14" s="37"/>
      <x:c r="E14" s="37"/>
      <x:c r="F14" s="37"/>
    </x:row>
    <x:row r="15" ht="15" hidden="0" customHeight="1">
      <x:c r="A15" s="40" t="str">
        <x:v>3</x:v>
      </x:c>
      <x:c r="B15" s="40" t="str">
        <x:v>Recalculate and reconcile totals</x:v>
      </x:c>
      <x:c r="C15" s="37"/>
      <x:c r="D15" s="37"/>
      <x:c r="E15" s="37"/>
      <x:c r="F15" s="37"/>
    </x:row>
    <x:row r="16" ht="15" hidden="0" customHeight="1">
      <x:c r="A16" s="40" t="str">
        <x:v>4</x:v>
      </x:c>
      <x:c r="B16" s="40" t="str">
        <x:v>Review sensitivities and quality conditions</x:v>
      </x:c>
      <x:c r="C16" s="37"/>
      <x:c r="D16" s="37"/>
      <x:c r="E16" s="37"/>
      <x:c r="F16" s="37"/>
    </x:row>
    <x:row r="17" ht="15" hidden="0" customHeight="1">
      <x:c r="A17" s="40" t="str">
        <x:v>5</x:v>
      </x:c>
      <x:c r="B17" s="40" t="str">
        <x:v>Record G3 decision and handoff range to 1.5</x:v>
      </x:c>
      <x:c r="C17" s="37"/>
      <x:c r="D17" s="37"/>
      <x:c r="E17" s="37"/>
      <x:c r="F17" s="3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6" hidden="0" customWidth="1"/>
    <x:col min="6" max="6" width="24" hidden="0" customWidth="1"/>
    <x:col min="7" max="7" width="14" hidden="0" customWidth="1"/>
    <x:col min="8" max="8" width="36" hidden="0" customWidth="1"/>
  </x:cols>
  <x:sheetData>
    <x:row r="1" ht="8" customHeight="1"/>
    <x:row r="2" ht="15" hidden="0" customHeight="1">
      <x:c r="A2" s="36" t="str">
        <x:v>Target and model assumptions — all demo values</x:v>
      </x:c>
      <x:c r="B2" s="37"/>
      <x:c r="C2" s="37"/>
      <x:c r="D2" s="37"/>
      <x:c r="E2" s="37"/>
      <x:c r="F2" s="37"/>
      <x:c r="G2" s="37"/>
      <x:c r="H2" s="37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</x:row>
    <x:row r="4" ht="15" hidden="0" customHeight="1">
      <x:c r="A4" s="16" t="str">
        <x:v>Year</x:v>
      </x:c>
      <x:c r="B4" s="16" t="str">
        <x:v>Target %</x:v>
      </x:c>
      <x:c r="C4" s="16" t="str">
        <x:v>Load growth reference</x:v>
      </x:c>
      <x:c r="D4" s="16" t="str">
        <x:v>Period basis</x:v>
      </x:c>
      <x:c r="E4" s="16" t="str">
        <x:v>Truth status</x:v>
      </x:c>
      <x:c r="F4" s="16" t="str">
        <x:v>Approval owner</x:v>
      </x:c>
      <x:c r="G4" s="16" t="str">
        <x:v>Status</x:v>
      </x:c>
      <x:c r="H4" s="16" t="str">
        <x:v>Notes</x:v>
      </x:c>
    </x:row>
    <x:row r="5" ht="15" hidden="0" customHeight="1">
      <x:c r="A5" s="20" t="n">
        <x:v>2026</x:v>
      </x:c>
      <x:c r="B5" s="24" t="n">
        <x:v>0.5</x:v>
      </x:c>
      <x:c r="C5" s="24" t="n">
        <x:v>0</x:v>
      </x:c>
      <x:c r="D5" s="20" t="str">
        <x:v>Calendar year</x:v>
      </x:c>
      <x:c r="E5" s="20" t="str">
        <x:v>SYNTHETIC / DEMO DATA</x:v>
      </x:c>
      <x:c r="F5" s="20" t="str">
        <x:v>TBD WITH CLIENT</x:v>
      </x:c>
      <x:c r="G5" s="20" t="str">
        <x:v>Open</x:v>
      </x:c>
      <x:c r="H5" s="20" t="str">
        <x:v>Replace with formal policy</x:v>
      </x:c>
    </x:row>
    <x:row r="6" ht="15" hidden="0" customHeight="1">
      <x:c r="A6" s="21" t="n">
        <x:v>2027</x:v>
      </x:c>
      <x:c r="B6" s="24" t="n">
        <x:v>0.75</x:v>
      </x:c>
      <x:c r="C6" s="24" t="n">
        <x:v>0.03</x:v>
      </x:c>
      <x:c r="D6" s="21" t="str">
        <x:v>Calendar year</x:v>
      </x:c>
      <x:c r="E6" s="21" t="str">
        <x:v>SYNTHETIC / DEMO DATA</x:v>
      </x:c>
      <x:c r="F6" s="21" t="str">
        <x:v>TBD WITH CLIENT</x:v>
      </x:c>
      <x:c r="G6" s="21" t="str">
        <x:v>Open</x:v>
      </x:c>
      <x:c r="H6" s="21" t="str">
        <x:v>Illustrative target step</x:v>
      </x:c>
    </x:row>
    <x:row r="7" ht="15" hidden="0" customHeight="1">
      <x:c r="A7" s="20" t="n">
        <x:v>2028</x:v>
      </x:c>
      <x:c r="B7" s="24" t="n">
        <x:v>1</x:v>
      </x:c>
      <x:c r="C7" s="24" t="n">
        <x:v>0.03</x:v>
      </x:c>
      <x:c r="D7" s="20" t="str">
        <x:v>Calendar year</x:v>
      </x:c>
      <x:c r="E7" s="20" t="str">
        <x:v>SYNTHETIC / DEMO DATA</x:v>
      </x:c>
      <x:c r="F7" s="20" t="str">
        <x:v>TBD WITH CLIENT</x:v>
      </x:c>
      <x:c r="G7" s="20" t="str">
        <x:v>Open</x:v>
      </x:c>
      <x:c r="H7" s="20" t="str">
        <x:v>Illustrative 100% target</x:v>
      </x:c>
    </x:row>
    <x:row r="8" ht="15" hidden="0" customHeight="1">
      <x:c r="A8" s="21" t="n">
        <x:v>2029</x:v>
      </x:c>
      <x:c r="B8" s="24" t="n">
        <x:v>1</x:v>
      </x:c>
      <x:c r="C8" s="24" t="n">
        <x:v>0.03</x:v>
      </x:c>
      <x:c r="D8" s="21" t="str">
        <x:v>Calendar year</x:v>
      </x:c>
      <x:c r="E8" s="21" t="str">
        <x:v>SYNTHETIC / DEMO DATA</x:v>
      </x:c>
      <x:c r="F8" s="21" t="str">
        <x:v>TBD WITH CLIENT</x:v>
      </x:c>
      <x:c r="G8" s="21" t="str">
        <x:v>Open</x:v>
      </x:c>
      <x:c r="H8" s="21" t="str">
        <x:v>Illustrative only</x:v>
      </x:c>
    </x:row>
    <x:row r="9" ht="15" hidden="0" customHeight="1">
      <x:c r="A9" s="20" t="n">
        <x:v>2030</x:v>
      </x:c>
      <x:c r="B9" s="24" t="n">
        <x:v>1</x:v>
      </x:c>
      <x:c r="C9" s="24" t="n">
        <x:v>0.03</x:v>
      </x:c>
      <x:c r="D9" s="20" t="str">
        <x:v>Calendar year</x:v>
      </x:c>
      <x:c r="E9" s="20" t="str">
        <x:v>SYNTHETIC / DEMO DATA</x:v>
      </x:c>
      <x:c r="F9" s="20" t="str">
        <x:v>TBD WITH CLIENT</x:v>
      </x:c>
      <x:c r="G9" s="20" t="str">
        <x:v>Open</x:v>
      </x:c>
      <x:c r="H9" s="20" t="str">
        <x:v>Illustrative only</x:v>
      </x:c>
    </x:row>
  </x:sheetData>
  <x:dataValidations count="1">
    <x:dataValidation type="list" sqref="G5:G9">
      <x:formula1>"Open,Approved,Approved with condition,Rejected"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4573340f8c48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6" hidden="0" customWidth="1"/>
    <x:col min="9" max="9" width="34" hidden="0" customWidth="1"/>
  </x:cols>
  <x:sheetData>
    <x:row r="1" ht="8" customHeight="1"/>
    <x:row r="2" ht="15" hidden="0" customHeight="1">
      <x:c r="A2" s="36" t="str">
        <x:v>Synthetic site load / forecast inputs</x:v>
      </x:c>
      <x:c r="B2" s="37"/>
      <x:c r="C2" s="37"/>
      <x:c r="D2" s="37"/>
      <x:c r="E2" s="37"/>
      <x:c r="F2" s="37"/>
      <x:c r="G2" s="37"/>
      <x:c r="H2" s="37"/>
      <x:c r="I2" s="37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15" hidden="0" customHeight="1">
      <x:c r="A4" s="16" t="str">
        <x:v>Load ID</x:v>
      </x:c>
      <x:c r="B4" s="16" t="str">
        <x:v>Year</x:v>
      </x:c>
      <x:c r="C4" s="16" t="str">
        <x:v>Site ID</x:v>
      </x:c>
      <x:c r="D4" s="16" t="str">
        <x:v>Gross load MWh</x:v>
      </x:c>
      <x:c r="E4" s="16" t="str">
        <x:v>Actual / Forecast</x:v>
      </x:c>
      <x:c r="F4" s="16" t="str">
        <x:v>Source ID</x:v>
      </x:c>
      <x:c r="G4" s="16" t="str">
        <x:v>Quality status</x:v>
      </x:c>
      <x:c r="H4" s="16" t="str">
        <x:v>Truth status</x:v>
      </x:c>
      <x:c r="I4" s="16" t="str">
        <x:v>Notes</x:v>
      </x:c>
    </x:row>
    <x:row r="5" ht="15" hidden="0" customHeight="1">
      <x:c r="A5" s="20" t="str">
        <x:v>LOAD-DEMO-001</x:v>
      </x:c>
      <x:c r="B5" s="20" t="n">
        <x:v>2026</x:v>
      </x:c>
      <x:c r="C5" s="20" t="str">
        <x:v>Demo Site A</x:v>
      </x:c>
      <x:c r="D5" s="27" t="n">
        <x:v>60000</x:v>
      </x:c>
      <x:c r="E5" s="20" t="str">
        <x:v>Actual</x:v>
      </x:c>
      <x:c r="F5" s="20" t="str">
        <x:v>SRC-DEMO-LOAD</x:v>
      </x:c>
      <x:c r="G5" s="20" t="str">
        <x:v>Pass</x:v>
      </x:c>
      <x:c r="H5" s="20" t="str">
        <x:v>SYNTHETIC / DEMO DATA</x:v>
      </x:c>
      <x:c r="I5" s="20" t="str">
        <x:v>Fictional</x:v>
      </x:c>
    </x:row>
    <x:row r="6" ht="15" hidden="0" customHeight="1">
      <x:c r="A6" s="21" t="str">
        <x:v>LOAD-DEMO-002</x:v>
      </x:c>
      <x:c r="B6" s="21" t="n">
        <x:v>2026</x:v>
      </x:c>
      <x:c r="C6" s="21" t="str">
        <x:v>Demo Site B</x:v>
      </x:c>
      <x:c r="D6" s="27" t="n">
        <x:v>40000</x:v>
      </x:c>
      <x:c r="E6" s="21" t="str">
        <x:v>Actual</x:v>
      </x:c>
      <x:c r="F6" s="21" t="str">
        <x:v>SRC-DEMO-LOAD</x:v>
      </x:c>
      <x:c r="G6" s="21" t="str">
        <x:v>Pass with condition</x:v>
      </x:c>
      <x:c r="H6" s="21" t="str">
        <x:v>SYNTHETIC / DEMO DATA</x:v>
      </x:c>
      <x:c r="I6" s="21" t="str">
        <x:v>One fictional quality condition</x:v>
      </x:c>
    </x:row>
    <x:row r="7" ht="15" hidden="0" customHeight="1">
      <x:c r="A7" s="20" t="str">
        <x:v>LOAD-DEMO-003</x:v>
      </x:c>
      <x:c r="B7" s="20" t="n">
        <x:v>2027</x:v>
      </x:c>
      <x:c r="C7" s="20" t="str">
        <x:v>Demo Site A</x:v>
      </x:c>
      <x:c r="D7" s="27" t="n">
        <x:v>61800</x:v>
      </x:c>
      <x:c r="E7" s="20" t="str">
        <x:v>Forecast</x:v>
      </x:c>
      <x:c r="F7" s="20" t="str">
        <x:v>SRC-DEMO-FCST</x:v>
      </x:c>
      <x:c r="G7" s="20" t="str">
        <x:v>Pass</x:v>
      </x:c>
      <x:c r="H7" s="20" t="str">
        <x:v>SYNTHETIC / DEMO DATA</x:v>
      </x:c>
      <x:c r="I7" s="20" t="str">
        <x:v>3% growth demo</x:v>
      </x:c>
    </x:row>
    <x:row r="8" ht="15" hidden="0" customHeight="1">
      <x:c r="A8" s="21" t="str">
        <x:v>LOAD-DEMO-004</x:v>
      </x:c>
      <x:c r="B8" s="21" t="n">
        <x:v>2027</x:v>
      </x:c>
      <x:c r="C8" s="21" t="str">
        <x:v>Demo Site B</x:v>
      </x:c>
      <x:c r="D8" s="27" t="n">
        <x:v>41200</x:v>
      </x:c>
      <x:c r="E8" s="21" t="str">
        <x:v>Forecast</x:v>
      </x:c>
      <x:c r="F8" s="21" t="str">
        <x:v>SRC-DEMO-FCST</x:v>
      </x:c>
      <x:c r="G8" s="21" t="str">
        <x:v>Pass</x:v>
      </x:c>
      <x:c r="H8" s="21" t="str">
        <x:v>SYNTHETIC / DEMO DATA</x:v>
      </x:c>
      <x:c r="I8" s="21" t="str">
        <x:v>3% growth demo</x:v>
      </x:c>
    </x:row>
    <x:row r="9" ht="15" hidden="0" customHeight="1">
      <x:c r="A9" s="20" t="str">
        <x:v>LOAD-DEMO-005</x:v>
      </x:c>
      <x:c r="B9" s="20" t="n">
        <x:v>2028</x:v>
      </x:c>
      <x:c r="C9" s="20" t="str">
        <x:v>Demo Site A</x:v>
      </x:c>
      <x:c r="D9" s="27" t="n">
        <x:v>63600</x:v>
      </x:c>
      <x:c r="E9" s="20" t="str">
        <x:v>Forecast</x:v>
      </x:c>
      <x:c r="F9" s="20" t="str">
        <x:v>SRC-DEMO-FCST</x:v>
      </x:c>
      <x:c r="G9" s="20" t="str">
        <x:v>Pass</x:v>
      </x:c>
      <x:c r="H9" s="20" t="str">
        <x:v>SYNTHETIC / DEMO DATA</x:v>
      </x:c>
      <x:c r="I9" s="20" t="str">
        <x:v>Rounded demo</x:v>
      </x:c>
    </x:row>
    <x:row r="10" ht="15" hidden="0" customHeight="1">
      <x:c r="A10" s="21" t="str">
        <x:v>LOAD-DEMO-006</x:v>
      </x:c>
      <x:c r="B10" s="21" t="n">
        <x:v>2028</x:v>
      </x:c>
      <x:c r="C10" s="21" t="str">
        <x:v>Demo Site B</x:v>
      </x:c>
      <x:c r="D10" s="27" t="n">
        <x:v>41400</x:v>
      </x:c>
      <x:c r="E10" s="21" t="str">
        <x:v>Forecast</x:v>
      </x:c>
      <x:c r="F10" s="21" t="str">
        <x:v>SRC-DEMO-FCST</x:v>
      </x:c>
      <x:c r="G10" s="21" t="str">
        <x:v>Pass</x:v>
      </x:c>
      <x:c r="H10" s="21" t="str">
        <x:v>SYNTHETIC / DEMO DATA</x:v>
      </x:c>
      <x:c r="I10" s="21" t="str">
        <x:v>Rounded demo</x:v>
      </x:c>
    </x:row>
    <x:row r="11" ht="15" hidden="0" customHeight="1">
      <x:c r="A11" s="20" t="str">
        <x:v>LOAD-DEMO-007</x:v>
      </x:c>
      <x:c r="B11" s="20" t="n">
        <x:v>2029</x:v>
      </x:c>
      <x:c r="C11" s="20" t="str">
        <x:v>Demo Site A</x:v>
      </x:c>
      <x:c r="D11" s="27" t="n">
        <x:v>65500</x:v>
      </x:c>
      <x:c r="E11" s="20" t="str">
        <x:v>Forecast</x:v>
      </x:c>
      <x:c r="F11" s="20" t="str">
        <x:v>SRC-DEMO-FCST</x:v>
      </x:c>
      <x:c r="G11" s="20" t="str">
        <x:v>Pass</x:v>
      </x:c>
      <x:c r="H11" s="20" t="str">
        <x:v>SYNTHETIC / DEMO DATA</x:v>
      </x:c>
      <x:c r="I11" s="20" t="str">
        <x:v>Rounded demo</x:v>
      </x:c>
    </x:row>
    <x:row r="12" ht="15" hidden="0" customHeight="1">
      <x:c r="A12" s="21" t="str">
        <x:v>LOAD-DEMO-008</x:v>
      </x:c>
      <x:c r="B12" s="21" t="n">
        <x:v>2029</x:v>
      </x:c>
      <x:c r="C12" s="21" t="str">
        <x:v>Demo Site B</x:v>
      </x:c>
      <x:c r="D12" s="27" t="n">
        <x:v>42600</x:v>
      </x:c>
      <x:c r="E12" s="21" t="str">
        <x:v>Forecast</x:v>
      </x:c>
      <x:c r="F12" s="21" t="str">
        <x:v>SRC-DEMO-FCST</x:v>
      </x:c>
      <x:c r="G12" s="21" t="str">
        <x:v>Pass</x:v>
      </x:c>
      <x:c r="H12" s="21" t="str">
        <x:v>SYNTHETIC / DEMO DATA</x:v>
      </x:c>
      <x:c r="I12" s="21" t="str">
        <x:v>Rounded demo</x:v>
      </x:c>
    </x:row>
    <x:row r="13" ht="15" hidden="0" customHeight="1">
      <x:c r="A13" s="20" t="str">
        <x:v>LOAD-DEMO-009</x:v>
      </x:c>
      <x:c r="B13" s="20" t="n">
        <x:v>2030</x:v>
      </x:c>
      <x:c r="C13" s="20" t="str">
        <x:v>Demo Site A</x:v>
      </x:c>
      <x:c r="D13" s="27" t="n">
        <x:v>67500</x:v>
      </x:c>
      <x:c r="E13" s="20" t="str">
        <x:v>Forecast</x:v>
      </x:c>
      <x:c r="F13" s="20" t="str">
        <x:v>SRC-DEMO-FCST</x:v>
      </x:c>
      <x:c r="G13" s="20" t="str">
        <x:v>Pass</x:v>
      </x:c>
      <x:c r="H13" s="20" t="str">
        <x:v>SYNTHETIC / DEMO DATA</x:v>
      </x:c>
      <x:c r="I13" s="20" t="str">
        <x:v>Rounded demo</x:v>
      </x:c>
    </x:row>
    <x:row r="14" ht="15" hidden="0" customHeight="1">
      <x:c r="A14" s="21" t="str">
        <x:v>LOAD-DEMO-010</x:v>
      </x:c>
      <x:c r="B14" s="21" t="n">
        <x:v>2030</x:v>
      </x:c>
      <x:c r="C14" s="21" t="str">
        <x:v>Demo Site B</x:v>
      </x:c>
      <x:c r="D14" s="27" t="n">
        <x:v>43900</x:v>
      </x:c>
      <x:c r="E14" s="21" t="str">
        <x:v>Forecast</x:v>
      </x:c>
      <x:c r="F14" s="21" t="str">
        <x:v>SRC-DEMO-FCST</x:v>
      </x:c>
      <x:c r="G14" s="21" t="str">
        <x:v>Pass</x:v>
      </x:c>
      <x:c r="H14" s="21" t="str">
        <x:v>SYNTHETIC / DEMO DATA</x:v>
      </x:c>
      <x:c r="I14" s="21" t="str">
        <x:v>Rounded demo</x:v>
      </x:c>
    </x:row>
  </x:sheetData>
  <x:pageMargins left="0.7" right="0.7" top="0.75" bottom="0.75" header="0.3" footer="0.3"/>
  <x:tableParts count="1">
    <x:tablePart xmlns:r="http://schemas.openxmlformats.org/officeDocument/2006/relationships" r:id="R784c92e370ba4d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30" hidden="0" customWidth="1"/>
    <x:col min="4" max="4" width="20" hidden="0" customWidth="1"/>
    <x:col min="5" max="5" width="18" hidden="0" customWidth="1"/>
    <x:col min="6" max="6" width="20" hidden="0" customWidth="1"/>
    <x:col min="7" max="7" width="24" hidden="0" customWidth="1"/>
    <x:col min="8" max="8" width="22" hidden="0" customWidth="1"/>
    <x:col min="9" max="9" width="22" hidden="0" customWidth="1"/>
    <x:col min="10" max="10" width="26" hidden="0" customWidth="1"/>
    <x:col min="11" max="11" width="34" hidden="0" customWidth="1"/>
  </x:cols>
  <x:sheetData>
    <x:row r="1" ht="8" customHeight="1"/>
    <x:row r="2" ht="15" hidden="0" customHeight="1">
      <x:c r="A2" s="36" t="str">
        <x:v>Synthetic existing procurement treatment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4" ht="15" hidden="0" customHeight="1">
      <x:c r="A4" s="16" t="str">
        <x:v>Instrument ID</x:v>
      </x:c>
      <x:c r="B4" s="16" t="str">
        <x:v>Year</x:v>
      </x:c>
      <x:c r="C4" s="16" t="str">
        <x:v>Instrument</x:v>
      </x:c>
      <x:c r="D4" s="16" t="str">
        <x:v>Contracted MWh</x:v>
      </x:c>
      <x:c r="E4" s="16" t="str">
        <x:v>Delivery factor</x:v>
      </x:c>
      <x:c r="F4" s="16" t="str">
        <x:v>Eligibility factor</x:v>
      </x:c>
      <x:c r="G4" s="16" t="str">
        <x:v>Planning eligible MWh</x:v>
      </x:c>
      <x:c r="H4" s="16" t="str">
        <x:v>Source ID</x:v>
      </x:c>
      <x:c r="I4" s="16" t="str">
        <x:v>Quality status</x:v>
      </x:c>
      <x:c r="J4" s="16" t="str">
        <x:v>Truth status</x:v>
      </x:c>
      <x:c r="K4" s="16" t="str">
        <x:v>Notes</x:v>
      </x:c>
    </x:row>
    <x:row r="5" ht="15" hidden="0" customHeight="1">
      <x:c r="A5" s="20" t="str">
        <x:v>PROC-DEMO-A</x:v>
      </x:c>
      <x:c r="B5" s="20" t="n">
        <x:v>2026</x:v>
      </x:c>
      <x:c r="C5" s="20" t="str">
        <x:v>Demo retailer supply</x:v>
      </x:c>
      <x:c r="D5" s="27" t="n">
        <x:v>30000</x:v>
      </x:c>
      <x:c r="E5" s="30" t="n">
        <x:v>0.95</x:v>
      </x:c>
      <x:c r="F5" s="30" t="n">
        <x:v>1</x:v>
      </x:c>
      <x:c r="G5" s="25" t="n">
        <x:f>D5*E5*F5</x:f>
        <x:v>28500</x:v>
      </x:c>
      <x:c r="H5" s="20" t="str">
        <x:v>SRC-DEMO-CONTRACT</x:v>
      </x:c>
      <x:c r="I5" s="20" t="str">
        <x:v>Pass</x:v>
      </x:c>
      <x:c r="J5" s="20" t="str">
        <x:v>SYNTHETIC / DEMO DATA</x:v>
      </x:c>
      <x:c r="K5" s="20" t="str">
        <x:v>Fictional</x:v>
      </x:c>
    </x:row>
    <x:row r="6" ht="15" hidden="0" customHeight="1">
      <x:c r="A6" s="21" t="str">
        <x:v>PROC-DEMO-B</x:v>
      </x:c>
      <x:c r="B6" s="21" t="n">
        <x:v>2026</x:v>
      </x:c>
      <x:c r="C6" s="21" t="str">
        <x:v>Demo T-REC holding</x:v>
      </x:c>
      <x:c r="D6" s="27" t="n">
        <x:v>10000</x:v>
      </x:c>
      <x:c r="E6" s="30" t="n">
        <x:v>1</x:v>
      </x:c>
      <x:c r="F6" s="30" t="n">
        <x:v>0.8</x:v>
      </x:c>
      <x:c r="G6" s="26" t="n">
        <x:f>D6*E6*F6</x:f>
        <x:v>8000</x:v>
      </x:c>
      <x:c r="H6" s="21" t="str">
        <x:v>SRC-DEMO-CERT</x:v>
      </x:c>
      <x:c r="I6" s="21" t="str">
        <x:v>Pass with condition</x:v>
      </x:c>
      <x:c r="J6" s="21" t="str">
        <x:v>SYNTHETIC / DEMO DATA</x:v>
      </x:c>
      <x:c r="K6" s="21" t="str">
        <x:v>Eligibility factor illustrative</x:v>
      </x:c>
    </x:row>
    <x:row r="7" ht="15" hidden="0" customHeight="1">
      <x:c r="A7" s="20" t="str">
        <x:v>PROC-DEMO-A</x:v>
      </x:c>
      <x:c r="B7" s="20" t="n">
        <x:v>2027</x:v>
      </x:c>
      <x:c r="C7" s="20" t="str">
        <x:v>Demo retailer supply</x:v>
      </x:c>
      <x:c r="D7" s="27" t="n">
        <x:v>35000</x:v>
      </x:c>
      <x:c r="E7" s="30" t="n">
        <x:v>0.95</x:v>
      </x:c>
      <x:c r="F7" s="30" t="n">
        <x:v>1</x:v>
      </x:c>
      <x:c r="G7" s="25" t="n">
        <x:f>D7*E7*F7</x:f>
        <x:v>33250</x:v>
      </x:c>
      <x:c r="H7" s="20" t="str">
        <x:v>SRC-DEMO-CONTRACT</x:v>
      </x:c>
      <x:c r="I7" s="20" t="str">
        <x:v>Pass</x:v>
      </x:c>
      <x:c r="J7" s="20" t="str">
        <x:v>SYNTHETIC / DEMO DATA</x:v>
      </x:c>
      <x:c r="K7" s="20" t="str">
        <x:v>Fictional</x:v>
      </x:c>
    </x:row>
    <x:row r="8" ht="15" hidden="0" customHeight="1">
      <x:c r="A8" s="21" t="str">
        <x:v>PROC-DEMO-B</x:v>
      </x:c>
      <x:c r="B8" s="21" t="n">
        <x:v>2027</x:v>
      </x:c>
      <x:c r="C8" s="21" t="str">
        <x:v>Demo T-REC holding</x:v>
      </x:c>
      <x:c r="D8" s="27" t="n">
        <x:v>12000</x:v>
      </x:c>
      <x:c r="E8" s="30" t="n">
        <x:v>1</x:v>
      </x:c>
      <x:c r="F8" s="30" t="n">
        <x:v>0.8</x:v>
      </x:c>
      <x:c r="G8" s="26" t="n">
        <x:f>D8*E8*F8</x:f>
        <x:v>9600</x:v>
      </x:c>
      <x:c r="H8" s="21" t="str">
        <x:v>SRC-DEMO-CERT</x:v>
      </x:c>
      <x:c r="I8" s="21" t="str">
        <x:v>Pass with condition</x:v>
      </x:c>
      <x:c r="J8" s="21" t="str">
        <x:v>SYNTHETIC / DEMO DATA</x:v>
      </x:c>
      <x:c r="K8" s="21" t="str">
        <x:v>Fictional</x:v>
      </x:c>
    </x:row>
    <x:row r="9" ht="15" hidden="0" customHeight="1">
      <x:c r="A9" s="20" t="str">
        <x:v>PROC-DEMO-C</x:v>
      </x:c>
      <x:c r="B9" s="20" t="n">
        <x:v>2028</x:v>
      </x:c>
      <x:c r="C9" s="20" t="str">
        <x:v>Demo offsite project</x:v>
      </x:c>
      <x:c r="D9" s="27" t="n">
        <x:v>55000</x:v>
      </x:c>
      <x:c r="E9" s="30" t="n">
        <x:v>0.95</x:v>
      </x:c>
      <x:c r="F9" s="30" t="n">
        <x:v>1</x:v>
      </x:c>
      <x:c r="G9" s="25" t="n">
        <x:f>D9*E9*F9</x:f>
        <x:v>52250</x:v>
      </x:c>
      <x:c r="H9" s="20" t="str">
        <x:v>SRC-DEMO-PROJECT</x:v>
      </x:c>
      <x:c r="I9" s="20" t="str">
        <x:v>Pass with condition</x:v>
      </x:c>
      <x:c r="J9" s="20" t="str">
        <x:v>SYNTHETIC / DEMO DATA</x:v>
      </x:c>
      <x:c r="K9" s="20" t="str">
        <x:v>COD / delivery not verified</x:v>
      </x:c>
    </x:row>
    <x:row r="10" ht="15" hidden="0" customHeight="1">
      <x:c r="A10" s="21" t="str">
        <x:v>PROC-DEMO-C</x:v>
      </x:c>
      <x:c r="B10" s="21" t="n">
        <x:v>2029</x:v>
      </x:c>
      <x:c r="C10" s="21" t="str">
        <x:v>Demo offsite project</x:v>
      </x:c>
      <x:c r="D10" s="27" t="n">
        <x:v>60000</x:v>
      </x:c>
      <x:c r="E10" s="30" t="n">
        <x:v>0.95</x:v>
      </x:c>
      <x:c r="F10" s="30" t="n">
        <x:v>1</x:v>
      </x:c>
      <x:c r="G10" s="26" t="n">
        <x:f>D10*E10*F10</x:f>
        <x:v>57000</x:v>
      </x:c>
      <x:c r="H10" s="21" t="str">
        <x:v>SRC-DEMO-PROJECT</x:v>
      </x:c>
      <x:c r="I10" s="21" t="str">
        <x:v>Pass with condition</x:v>
      </x:c>
      <x:c r="J10" s="21" t="str">
        <x:v>SYNTHETIC / DEMO DATA</x:v>
      </x:c>
      <x:c r="K10" s="21" t="str">
        <x:v>Fictional</x:v>
      </x:c>
    </x:row>
    <x:row r="11" ht="15" hidden="0" customHeight="1">
      <x:c r="A11" s="20" t="str">
        <x:v>PROC-DEMO-C</x:v>
      </x:c>
      <x:c r="B11" s="20" t="n">
        <x:v>2030</x:v>
      </x:c>
      <x:c r="C11" s="20" t="str">
        <x:v>Demo offsite project</x:v>
      </x:c>
      <x:c r="D11" s="27" t="n">
        <x:v>60000</x:v>
      </x:c>
      <x:c r="E11" s="30" t="n">
        <x:v>0.95</x:v>
      </x:c>
      <x:c r="F11" s="30" t="n">
        <x:v>1</x:v>
      </x:c>
      <x:c r="G11" s="25" t="n">
        <x:f>D11*E11*F11</x:f>
        <x:v>57000</x:v>
      </x:c>
      <x:c r="H11" s="20" t="str">
        <x:v>SRC-DEMO-PROJECT</x:v>
      </x:c>
      <x:c r="I11" s="20" t="str">
        <x:v>Pass with condition</x:v>
      </x:c>
      <x:c r="J11" s="20" t="str">
        <x:v>SYNTHETIC / DEMO DATA</x:v>
      </x:c>
      <x:c r="K11" s="20" t="str">
        <x:v>Fictional</x:v>
      </x:c>
    </x:row>
  </x:sheetData>
  <x:pageMargins left="0.7" right="0.7" top="0.75" bottom="0.75" header="0.3" footer="0.3"/>
  <x:tableParts count="1">
    <x:tablePart xmlns:r="http://schemas.openxmlformats.org/officeDocument/2006/relationships" r:id="R53304520034c46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4" hidden="0" customWidth="1"/>
    <x:col min="5" max="5" width="24" hidden="0" customWidth="1"/>
    <x:col min="6" max="6" width="22" hidden="0" customWidth="1"/>
    <x:col min="7" max="7" width="16" hidden="0" customWidth="1"/>
    <x:col min="8" max="8" width="22" hidden="0" customWidth="1"/>
    <x:col min="9" max="9" width="24" hidden="0" customWidth="1"/>
    <x:col min="10" max="10" width="26" hidden="0" customWidth="1"/>
  </x:cols>
  <x:sheetData>
    <x:row r="1" ht="8" customHeight="1"/>
    <x:row r="2" ht="15" hidden="0" customHeight="1">
      <x:c r="A2" s="36" t="str">
        <x:v>Annual residual gap — formula-driven demo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15" hidden="0" customHeight="1">
      <x:c r="A4" s="16" t="str">
        <x:v>Year</x:v>
      </x:c>
      <x:c r="B4" s="16" t="str">
        <x:v>Total load MWh</x:v>
      </x:c>
      <x:c r="C4" s="16" t="str">
        <x:v>Target %</x:v>
      </x:c>
      <x:c r="D4" s="16" t="str">
        <x:v>Target renewable MWh</x:v>
      </x:c>
      <x:c r="E4" s="16" t="str">
        <x:v>Existing eligible MWh</x:v>
      </x:c>
      <x:c r="F4" s="16" t="str">
        <x:v>Residual gap MWh</x:v>
      </x:c>
      <x:c r="G4" s="16" t="str">
        <x:v>Coverage %</x:v>
      </x:c>
      <x:c r="H4" s="16" t="str">
        <x:v>Over-coverage MWh</x:v>
      </x:c>
      <x:c r="I4" s="16" t="str">
        <x:v>Decision status</x:v>
      </x:c>
      <x:c r="J4" s="16" t="str">
        <x:v>Truth status</x:v>
      </x:c>
    </x:row>
    <x:row r="5" ht="15" hidden="0" customHeight="1">
      <x:c r="A5" s="20" t="n">
        <x:v>2026</x:v>
      </x:c>
      <x:c r="B5" s="25" t="n">
        <x:f>SUMIF('Site Load'!$B$5:$B$14,A5,'Site Load'!$D$5:$D$14)</x:f>
        <x:v>100000</x:v>
      </x:c>
      <x:c r="C5" s="28" t="n">
        <x:f>SUMIF(Assumptions!$A$5:$A$9,A5,Assumptions!$B$5:$B$9)</x:f>
        <x:v>0.5</x:v>
      </x:c>
      <x:c r="D5" s="25" t="n">
        <x:f>B5*C5</x:f>
        <x:v>50000</x:v>
      </x:c>
      <x:c r="E5" s="25" t="n">
        <x:f>SUMIF('Existing Procurement'!$B$5:$B$11,A5,'Existing Procurement'!$G$5:$G$11)</x:f>
        <x:v>36500</x:v>
      </x:c>
      <x:c r="F5" s="27" t="n">
        <x:f>MAX(D5-E5,0)</x:f>
        <x:v>13500</x:v>
      </x:c>
      <x:c r="G5" s="28" t="n">
        <x:f>IF(D5=0,0,MIN(E5/D5,1))</x:f>
        <x:v>0.73</x:v>
      </x:c>
      <x:c r="H5" s="25" t="n">
        <x:f>MAX(E5-D5,0)</x:f>
        <x:v>0</x:v>
      </x:c>
      <x:c r="I5" s="20" t="str">
        <x:v>DRAFT — DEMO</x:v>
      </x:c>
      <x:c r="J5" s="20" t="str">
        <x:v>SYNTHETIC / DEMO DATA</x:v>
      </x:c>
    </x:row>
    <x:row r="6" ht="15" hidden="0" customHeight="1">
      <x:c r="A6" s="21" t="n">
        <x:v>2027</x:v>
      </x:c>
      <x:c r="B6" s="26" t="n">
        <x:f>SUMIF('Site Load'!$B$5:$B$14,A6,'Site Load'!$D$5:$D$14)</x:f>
        <x:v>103000</x:v>
      </x:c>
      <x:c r="C6" s="29" t="n">
        <x:f>SUMIF(Assumptions!$A$5:$A$9,A6,Assumptions!$B$5:$B$9)</x:f>
        <x:v>0.75</x:v>
      </x:c>
      <x:c r="D6" s="26" t="n">
        <x:f>B6*C6</x:f>
        <x:v>77250</x:v>
      </x:c>
      <x:c r="E6" s="26" t="n">
        <x:f>SUMIF('Existing Procurement'!$B$5:$B$11,A6,'Existing Procurement'!$G$5:$G$11)</x:f>
        <x:v>42850</x:v>
      </x:c>
      <x:c r="F6" s="27" t="n">
        <x:f>MAX(D6-E6,0)</x:f>
        <x:v>34400</x:v>
      </x:c>
      <x:c r="G6" s="29" t="n">
        <x:f>IF(D6=0,0,MIN(E6/D6,1))</x:f>
        <x:v>0.5546925566343042</x:v>
      </x:c>
      <x:c r="H6" s="26" t="n">
        <x:f>MAX(E6-D6,0)</x:f>
        <x:v>0</x:v>
      </x:c>
      <x:c r="I6" s="21" t="str">
        <x:v>DRAFT — DEMO</x:v>
      </x:c>
      <x:c r="J6" s="21" t="str">
        <x:v>SYNTHETIC / DEMO DATA</x:v>
      </x:c>
    </x:row>
    <x:row r="7" ht="15" hidden="0" customHeight="1">
      <x:c r="A7" s="20" t="n">
        <x:v>2028</x:v>
      </x:c>
      <x:c r="B7" s="25" t="n">
        <x:f>SUMIF('Site Load'!$B$5:$B$14,A7,'Site Load'!$D$5:$D$14)</x:f>
        <x:v>105000</x:v>
      </x:c>
      <x:c r="C7" s="28" t="n">
        <x:f>SUMIF(Assumptions!$A$5:$A$9,A7,Assumptions!$B$5:$B$9)</x:f>
        <x:v>1</x:v>
      </x:c>
      <x:c r="D7" s="25" t="n">
        <x:f>B7*C7</x:f>
        <x:v>105000</x:v>
      </x:c>
      <x:c r="E7" s="25" t="n">
        <x:f>SUMIF('Existing Procurement'!$B$5:$B$11,A7,'Existing Procurement'!$G$5:$G$11)</x:f>
        <x:v>52250</x:v>
      </x:c>
      <x:c r="F7" s="27" t="n">
        <x:f>MAX(D7-E7,0)</x:f>
        <x:v>52750</x:v>
      </x:c>
      <x:c r="G7" s="28" t="n">
        <x:f>IF(D7=0,0,MIN(E7/D7,1))</x:f>
        <x:v>0.4976190476190476</x:v>
      </x:c>
      <x:c r="H7" s="25" t="n">
        <x:f>MAX(E7-D7,0)</x:f>
        <x:v>0</x:v>
      </x:c>
      <x:c r="I7" s="20" t="str">
        <x:v>DRAFT — DEMO</x:v>
      </x:c>
      <x:c r="J7" s="20" t="str">
        <x:v>SYNTHETIC / DEMO DATA</x:v>
      </x:c>
    </x:row>
    <x:row r="8" ht="15" hidden="0" customHeight="1">
      <x:c r="A8" s="21" t="n">
        <x:v>2029</x:v>
      </x:c>
      <x:c r="B8" s="26" t="n">
        <x:f>SUMIF('Site Load'!$B$5:$B$14,A8,'Site Load'!$D$5:$D$14)</x:f>
        <x:v>108100</x:v>
      </x:c>
      <x:c r="C8" s="29" t="n">
        <x:f>SUMIF(Assumptions!$A$5:$A$9,A8,Assumptions!$B$5:$B$9)</x:f>
        <x:v>1</x:v>
      </x:c>
      <x:c r="D8" s="26" t="n">
        <x:f>B8*C8</x:f>
        <x:v>108100</x:v>
      </x:c>
      <x:c r="E8" s="26" t="n">
        <x:f>SUMIF('Existing Procurement'!$B$5:$B$11,A8,'Existing Procurement'!$G$5:$G$11)</x:f>
        <x:v>57000</x:v>
      </x:c>
      <x:c r="F8" s="27" t="n">
        <x:f>MAX(D8-E8,0)</x:f>
        <x:v>51100</x:v>
      </x:c>
      <x:c r="G8" s="29" t="n">
        <x:f>IF(D8=0,0,MIN(E8/D8,1))</x:f>
        <x:v>0.5272895467160037</x:v>
      </x:c>
      <x:c r="H8" s="26" t="n">
        <x:f>MAX(E8-D8,0)</x:f>
        <x:v>0</x:v>
      </x:c>
      <x:c r="I8" s="21" t="str">
        <x:v>DRAFT — DEMO</x:v>
      </x:c>
      <x:c r="J8" s="21" t="str">
        <x:v>SYNTHETIC / DEMO DATA</x:v>
      </x:c>
    </x:row>
    <x:row r="9" ht="15" hidden="0" customHeight="1">
      <x:c r="A9" s="20" t="n">
        <x:v>2030</x:v>
      </x:c>
      <x:c r="B9" s="25" t="n">
        <x:f>SUMIF('Site Load'!$B$5:$B$14,A9,'Site Load'!$D$5:$D$14)</x:f>
        <x:v>111400</x:v>
      </x:c>
      <x:c r="C9" s="28" t="n">
        <x:f>SUMIF(Assumptions!$A$5:$A$9,A9,Assumptions!$B$5:$B$9)</x:f>
        <x:v>1</x:v>
      </x:c>
      <x:c r="D9" s="25" t="n">
        <x:f>B9*C9</x:f>
        <x:v>111400</x:v>
      </x:c>
      <x:c r="E9" s="25" t="n">
        <x:f>SUMIF('Existing Procurement'!$B$5:$B$11,A9,'Existing Procurement'!$G$5:$G$11)</x:f>
        <x:v>57000</x:v>
      </x:c>
      <x:c r="F9" s="27" t="n">
        <x:f>MAX(D9-E9,0)</x:f>
        <x:v>54400</x:v>
      </x:c>
      <x:c r="G9" s="28" t="n">
        <x:f>IF(D9=0,0,MIN(E9/D9,1))</x:f>
        <x:v>0.5116696588868941</x:v>
      </x:c>
      <x:c r="H9" s="25" t="n">
        <x:f>MAX(E9-D9,0)</x:f>
        <x:v>0</x:v>
      </x:c>
      <x:c r="I9" s="20" t="str">
        <x:v>DRAFT — DEMO</x:v>
      </x:c>
      <x:c r="J9" s="20" t="str">
        <x:v>SYNTHETIC / DEMO DATA</x:v>
      </x:c>
    </x:row>
  </x:sheetData>
  <x:conditionalFormatting sqref="G5:G9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2a0c9f23e20443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24" hidden="0" customWidth="1"/>
    <x:col min="5" max="5" width="22" hidden="0" customWidth="1"/>
    <x:col min="6" max="6" width="26" hidden="0" customWidth="1"/>
    <x:col min="7" max="7" width="22" hidden="0" customWidth="1"/>
    <x:col min="8" max="8" width="24" hidden="0" customWidth="1"/>
    <x:col min="9" max="9" width="22" hidden="0" customWidth="1"/>
    <x:col min="10" max="10" width="36" hidden="0" customWidth="1"/>
  </x:cols>
  <x:sheetData>
    <x:row r="1" ht="8" customHeight="1"/>
    <x:row r="2" ht="15" hidden="0" customHeight="1">
      <x:c r="A2" s="36" t="str">
        <x:v>Gap sensitivity — demo factors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15" hidden="0" customHeight="1">
      <x:c r="A4" s="16" t="str">
        <x:v>Year</x:v>
      </x:c>
      <x:c r="B4" s="16" t="str">
        <x:v>Case</x:v>
      </x:c>
      <x:c r="C4" s="16" t="str">
        <x:v>Load factor</x:v>
      </x:c>
      <x:c r="D4" s="16" t="str">
        <x:v>Existing delivery factor</x:v>
      </x:c>
      <x:c r="E4" s="16" t="str">
        <x:v>Base target MWh</x:v>
      </x:c>
      <x:c r="F4" s="16" t="str">
        <x:v>Base existing eligible MWh</x:v>
      </x:c>
      <x:c r="G4" s="16" t="str">
        <x:v>Case target MWh</x:v>
      </x:c>
      <x:c r="H4" s="16" t="str">
        <x:v>Case existing MWh</x:v>
      </x:c>
      <x:c r="I4" s="16" t="str">
        <x:v>Residual gap MWh</x:v>
      </x:c>
      <x:c r="J4" s="16" t="str">
        <x:v>Notes</x:v>
      </x:c>
    </x:row>
    <x:row r="5" ht="15" hidden="0" customHeight="1">
      <x:c r="A5" s="20" t="n">
        <x:v>2026</x:v>
      </x:c>
      <x:c r="B5" s="20" t="str">
        <x:v>Base</x:v>
      </x:c>
      <x:c r="C5" s="30" t="n">
        <x:v>1</x:v>
      </x:c>
      <x:c r="D5" s="30" t="n">
        <x:v>1</x:v>
      </x:c>
      <x:c r="E5" s="25" t="n">
        <x:f>SUMIF('Gap Analysis'!$A$5:$A$9,A5,'Gap Analysis'!$D$5:$D$9)</x:f>
        <x:v>50000</x:v>
      </x:c>
      <x:c r="F5" s="25" t="n">
        <x:f>SUMIF('Gap Analysis'!$A$5:$A$9,A5,'Gap Analysis'!$E$5:$E$9)</x:f>
        <x:v>36500</x:v>
      </x:c>
      <x:c r="G5" s="25" t="n">
        <x:f>E5*C5</x:f>
        <x:v>50000</x:v>
      </x:c>
      <x:c r="H5" s="25" t="n">
        <x:f>F5*D5</x:f>
        <x:v>36500</x:v>
      </x:c>
      <x:c r="I5" s="26" t="n">
        <x:f>MAX(G5-H5,0)</x:f>
        <x:v>13500</x:v>
      </x:c>
      <x:c r="J5" s="20" t="str">
        <x:v>Current demo inputs</x:v>
      </x:c>
    </x:row>
    <x:row r="6" ht="15" hidden="0" customHeight="1">
      <x:c r="A6" s="21" t="n">
        <x:v>2026</x:v>
      </x:c>
      <x:c r="B6" s="21" t="str">
        <x:v>Higher load</x:v>
      </x:c>
      <x:c r="C6" s="30" t="n">
        <x:v>1.05</x:v>
      </x:c>
      <x:c r="D6" s="30" t="n">
        <x:v>1</x:v>
      </x:c>
      <x:c r="E6" s="26" t="n">
        <x:f>SUMIF('Gap Analysis'!$A$5:$A$9,A6,'Gap Analysis'!$D$5:$D$9)</x:f>
        <x:v>50000</x:v>
      </x:c>
      <x:c r="F6" s="26" t="n">
        <x:f>SUMIF('Gap Analysis'!$A$5:$A$9,A6,'Gap Analysis'!$E$5:$E$9)</x:f>
        <x:v>36500</x:v>
      </x:c>
      <x:c r="G6" s="26" t="n">
        <x:f>E6*C6</x:f>
        <x:v>52500</x:v>
      </x:c>
      <x:c r="H6" s="26" t="n">
        <x:f>F6*D6</x:f>
        <x:v>36500</x:v>
      </x:c>
      <x:c r="I6" s="26" t="n">
        <x:f>MAX(G6-H6,0)</x:f>
        <x:v>16000</x:v>
      </x:c>
      <x:c r="J6" s="21" t="str">
        <x:v>+5% load — illustrative</x:v>
      </x:c>
    </x:row>
    <x:row r="7" ht="15" hidden="0" customHeight="1">
      <x:c r="A7" s="20" t="n">
        <x:v>2026</x:v>
      </x:c>
      <x:c r="B7" s="20" t="str">
        <x:v>Lower delivery</x:v>
      </x:c>
      <x:c r="C7" s="30" t="n">
        <x:v>1</x:v>
      </x:c>
      <x:c r="D7" s="30" t="n">
        <x:v>0.9</x:v>
      </x:c>
      <x:c r="E7" s="25" t="n">
        <x:f>SUMIF('Gap Analysis'!$A$5:$A$9,A7,'Gap Analysis'!$D$5:$D$9)</x:f>
        <x:v>50000</x:v>
      </x:c>
      <x:c r="F7" s="25" t="n">
        <x:f>SUMIF('Gap Analysis'!$A$5:$A$9,A7,'Gap Analysis'!$E$5:$E$9)</x:f>
        <x:v>36500</x:v>
      </x:c>
      <x:c r="G7" s="25" t="n">
        <x:f>E7*C7</x:f>
        <x:v>50000</x:v>
      </x:c>
      <x:c r="H7" s="25" t="n">
        <x:f>F7*D7</x:f>
        <x:v>32850</x:v>
      </x:c>
      <x:c r="I7" s="26" t="n">
        <x:f>MAX(G7-H7,0)</x:f>
        <x:v>17150</x:v>
      </x:c>
      <x:c r="J7" s="20" t="str">
        <x:v>-10% existing delivery — illustrative</x:v>
      </x:c>
    </x:row>
    <x:row r="8" ht="15" hidden="0" customHeight="1">
      <x:c r="A8" s="21" t="n">
        <x:v>2026</x:v>
      </x:c>
      <x:c r="B8" s="21" t="str">
        <x:v>Combined stress</x:v>
      </x:c>
      <x:c r="C8" s="30" t="n">
        <x:v>1.05</x:v>
      </x:c>
      <x:c r="D8" s="30" t="n">
        <x:v>0.9</x:v>
      </x:c>
      <x:c r="E8" s="26" t="n">
        <x:f>SUMIF('Gap Analysis'!$A$5:$A$9,A8,'Gap Analysis'!$D$5:$D$9)</x:f>
        <x:v>50000</x:v>
      </x:c>
      <x:c r="F8" s="26" t="n">
        <x:f>SUMIF('Gap Analysis'!$A$5:$A$9,A8,'Gap Analysis'!$E$5:$E$9)</x:f>
        <x:v>36500</x:v>
      </x:c>
      <x:c r="G8" s="26" t="n">
        <x:f>E8*C8</x:f>
        <x:v>52500</x:v>
      </x:c>
      <x:c r="H8" s="26" t="n">
        <x:f>F8*D8</x:f>
        <x:v>32850</x:v>
      </x:c>
      <x:c r="I8" s="26" t="n">
        <x:f>MAX(G8-H8,0)</x:f>
        <x:v>19650</x:v>
      </x:c>
      <x:c r="J8" s="21" t="str">
        <x:v>Both illustrative stresses</x:v>
      </x:c>
    </x:row>
    <x:row r="9" ht="15" hidden="0" customHeight="1">
      <x:c r="A9" s="20" t="n">
        <x:v>2027</x:v>
      </x:c>
      <x:c r="B9" s="20" t="str">
        <x:v>Base</x:v>
      </x:c>
      <x:c r="C9" s="30" t="n">
        <x:v>1</x:v>
      </x:c>
      <x:c r="D9" s="30" t="n">
        <x:v>1</x:v>
      </x:c>
      <x:c r="E9" s="25" t="n">
        <x:f>SUMIF('Gap Analysis'!$A$5:$A$9,A9,'Gap Analysis'!$D$5:$D$9)</x:f>
        <x:v>77250</x:v>
      </x:c>
      <x:c r="F9" s="25" t="n">
        <x:f>SUMIF('Gap Analysis'!$A$5:$A$9,A9,'Gap Analysis'!$E$5:$E$9)</x:f>
        <x:v>42850</x:v>
      </x:c>
      <x:c r="G9" s="25" t="n">
        <x:f>E9*C9</x:f>
        <x:v>77250</x:v>
      </x:c>
      <x:c r="H9" s="25" t="n">
        <x:f>F9*D9</x:f>
        <x:v>42850</x:v>
      </x:c>
      <x:c r="I9" s="26" t="n">
        <x:f>MAX(G9-H9,0)</x:f>
        <x:v>34400</x:v>
      </x:c>
      <x:c r="J9" s="20" t="str">
        <x:v>Current demo inputs</x:v>
      </x:c>
    </x:row>
    <x:row r="10" ht="15" hidden="0" customHeight="1">
      <x:c r="A10" s="21" t="n">
        <x:v>2027</x:v>
      </x:c>
      <x:c r="B10" s="21" t="str">
        <x:v>Higher load</x:v>
      </x:c>
      <x:c r="C10" s="30" t="n">
        <x:v>1.05</x:v>
      </x:c>
      <x:c r="D10" s="30" t="n">
        <x:v>1</x:v>
      </x:c>
      <x:c r="E10" s="26" t="n">
        <x:f>SUMIF('Gap Analysis'!$A$5:$A$9,A10,'Gap Analysis'!$D$5:$D$9)</x:f>
        <x:v>77250</x:v>
      </x:c>
      <x:c r="F10" s="26" t="n">
        <x:f>SUMIF('Gap Analysis'!$A$5:$A$9,A10,'Gap Analysis'!$E$5:$E$9)</x:f>
        <x:v>42850</x:v>
      </x:c>
      <x:c r="G10" s="26" t="n">
        <x:f>E10*C10</x:f>
        <x:v>81112.5</x:v>
      </x:c>
      <x:c r="H10" s="26" t="n">
        <x:f>F10*D10</x:f>
        <x:v>42850</x:v>
      </x:c>
      <x:c r="I10" s="26" t="n">
        <x:f>MAX(G10-H10,0)</x:f>
        <x:v>38262.5</x:v>
      </x:c>
      <x:c r="J10" s="21" t="str">
        <x:v>+5% load — illustrative</x:v>
      </x:c>
    </x:row>
    <x:row r="11" ht="15" hidden="0" customHeight="1">
      <x:c r="A11" s="20" t="n">
        <x:v>2027</x:v>
      </x:c>
      <x:c r="B11" s="20" t="str">
        <x:v>Lower delivery</x:v>
      </x:c>
      <x:c r="C11" s="30" t="n">
        <x:v>1</x:v>
      </x:c>
      <x:c r="D11" s="30" t="n">
        <x:v>0.9</x:v>
      </x:c>
      <x:c r="E11" s="25" t="n">
        <x:f>SUMIF('Gap Analysis'!$A$5:$A$9,A11,'Gap Analysis'!$D$5:$D$9)</x:f>
        <x:v>77250</x:v>
      </x:c>
      <x:c r="F11" s="25" t="n">
        <x:f>SUMIF('Gap Analysis'!$A$5:$A$9,A11,'Gap Analysis'!$E$5:$E$9)</x:f>
        <x:v>42850</x:v>
      </x:c>
      <x:c r="G11" s="25" t="n">
        <x:f>E11*C11</x:f>
        <x:v>77250</x:v>
      </x:c>
      <x:c r="H11" s="25" t="n">
        <x:f>F11*D11</x:f>
        <x:v>38565</x:v>
      </x:c>
      <x:c r="I11" s="26" t="n">
        <x:f>MAX(G11-H11,0)</x:f>
        <x:v>38685</x:v>
      </x:c>
      <x:c r="J11" s="20" t="str">
        <x:v>-10% existing delivery — illustrative</x:v>
      </x:c>
    </x:row>
    <x:row r="12" ht="15" hidden="0" customHeight="1">
      <x:c r="A12" s="21" t="n">
        <x:v>2027</x:v>
      </x:c>
      <x:c r="B12" s="21" t="str">
        <x:v>Combined stress</x:v>
      </x:c>
      <x:c r="C12" s="30" t="n">
        <x:v>1.05</x:v>
      </x:c>
      <x:c r="D12" s="30" t="n">
        <x:v>0.9</x:v>
      </x:c>
      <x:c r="E12" s="26" t="n">
        <x:f>SUMIF('Gap Analysis'!$A$5:$A$9,A12,'Gap Analysis'!$D$5:$D$9)</x:f>
        <x:v>77250</x:v>
      </x:c>
      <x:c r="F12" s="26" t="n">
        <x:f>SUMIF('Gap Analysis'!$A$5:$A$9,A12,'Gap Analysis'!$E$5:$E$9)</x:f>
        <x:v>42850</x:v>
      </x:c>
      <x:c r="G12" s="26" t="n">
        <x:f>E12*C12</x:f>
        <x:v>81112.5</x:v>
      </x:c>
      <x:c r="H12" s="26" t="n">
        <x:f>F12*D12</x:f>
        <x:v>38565</x:v>
      </x:c>
      <x:c r="I12" s="26" t="n">
        <x:f>MAX(G12-H12,0)</x:f>
        <x:v>42547.5</x:v>
      </x:c>
      <x:c r="J12" s="21" t="str">
        <x:v>Both illustrative stresses</x:v>
      </x:c>
    </x:row>
    <x:row r="13" ht="15" hidden="0" customHeight="1">
      <x:c r="A13" s="20" t="n">
        <x:v>2028</x:v>
      </x:c>
      <x:c r="B13" s="20" t="str">
        <x:v>Base</x:v>
      </x:c>
      <x:c r="C13" s="30" t="n">
        <x:v>1</x:v>
      </x:c>
      <x:c r="D13" s="30" t="n">
        <x:v>1</x:v>
      </x:c>
      <x:c r="E13" s="25" t="n">
        <x:f>SUMIF('Gap Analysis'!$A$5:$A$9,A13,'Gap Analysis'!$D$5:$D$9)</x:f>
        <x:v>105000</x:v>
      </x:c>
      <x:c r="F13" s="25" t="n">
        <x:f>SUMIF('Gap Analysis'!$A$5:$A$9,A13,'Gap Analysis'!$E$5:$E$9)</x:f>
        <x:v>52250</x:v>
      </x:c>
      <x:c r="G13" s="25" t="n">
        <x:f>E13*C13</x:f>
        <x:v>105000</x:v>
      </x:c>
      <x:c r="H13" s="25" t="n">
        <x:f>F13*D13</x:f>
        <x:v>52250</x:v>
      </x:c>
      <x:c r="I13" s="26" t="n">
        <x:f>MAX(G13-H13,0)</x:f>
        <x:v>52750</x:v>
      </x:c>
      <x:c r="J13" s="20" t="str">
        <x:v>Current demo inputs</x:v>
      </x:c>
    </x:row>
    <x:row r="14" ht="15" hidden="0" customHeight="1">
      <x:c r="A14" s="21" t="n">
        <x:v>2028</x:v>
      </x:c>
      <x:c r="B14" s="21" t="str">
        <x:v>Higher load</x:v>
      </x:c>
      <x:c r="C14" s="30" t="n">
        <x:v>1.05</x:v>
      </x:c>
      <x:c r="D14" s="30" t="n">
        <x:v>1</x:v>
      </x:c>
      <x:c r="E14" s="26" t="n">
        <x:f>SUMIF('Gap Analysis'!$A$5:$A$9,A14,'Gap Analysis'!$D$5:$D$9)</x:f>
        <x:v>105000</x:v>
      </x:c>
      <x:c r="F14" s="26" t="n">
        <x:f>SUMIF('Gap Analysis'!$A$5:$A$9,A14,'Gap Analysis'!$E$5:$E$9)</x:f>
        <x:v>52250</x:v>
      </x:c>
      <x:c r="G14" s="26" t="n">
        <x:f>E14*C14</x:f>
        <x:v>110250</x:v>
      </x:c>
      <x:c r="H14" s="26" t="n">
        <x:f>F14*D14</x:f>
        <x:v>52250</x:v>
      </x:c>
      <x:c r="I14" s="26" t="n">
        <x:f>MAX(G14-H14,0)</x:f>
        <x:v>58000</x:v>
      </x:c>
      <x:c r="J14" s="21" t="str">
        <x:v>+5% load — illustrative</x:v>
      </x:c>
    </x:row>
    <x:row r="15" ht="15" hidden="0" customHeight="1">
      <x:c r="A15" s="20" t="n">
        <x:v>2028</x:v>
      </x:c>
      <x:c r="B15" s="20" t="str">
        <x:v>Lower delivery</x:v>
      </x:c>
      <x:c r="C15" s="30" t="n">
        <x:v>1</x:v>
      </x:c>
      <x:c r="D15" s="30" t="n">
        <x:v>0.9</x:v>
      </x:c>
      <x:c r="E15" s="25" t="n">
        <x:f>SUMIF('Gap Analysis'!$A$5:$A$9,A15,'Gap Analysis'!$D$5:$D$9)</x:f>
        <x:v>105000</x:v>
      </x:c>
      <x:c r="F15" s="25" t="n">
        <x:f>SUMIF('Gap Analysis'!$A$5:$A$9,A15,'Gap Analysis'!$E$5:$E$9)</x:f>
        <x:v>52250</x:v>
      </x:c>
      <x:c r="G15" s="25" t="n">
        <x:f>E15*C15</x:f>
        <x:v>105000</x:v>
      </x:c>
      <x:c r="H15" s="25" t="n">
        <x:f>F15*D15</x:f>
        <x:v>47025</x:v>
      </x:c>
      <x:c r="I15" s="26" t="n">
        <x:f>MAX(G15-H15,0)</x:f>
        <x:v>57975</x:v>
      </x:c>
      <x:c r="J15" s="20" t="str">
        <x:v>-10% existing delivery — illustrative</x:v>
      </x:c>
    </x:row>
    <x:row r="16" ht="15" hidden="0" customHeight="1">
      <x:c r="A16" s="21" t="n">
        <x:v>2028</x:v>
      </x:c>
      <x:c r="B16" s="21" t="str">
        <x:v>Combined stress</x:v>
      </x:c>
      <x:c r="C16" s="30" t="n">
        <x:v>1.05</x:v>
      </x:c>
      <x:c r="D16" s="30" t="n">
        <x:v>0.9</x:v>
      </x:c>
      <x:c r="E16" s="26" t="n">
        <x:f>SUMIF('Gap Analysis'!$A$5:$A$9,A16,'Gap Analysis'!$D$5:$D$9)</x:f>
        <x:v>105000</x:v>
      </x:c>
      <x:c r="F16" s="26" t="n">
        <x:f>SUMIF('Gap Analysis'!$A$5:$A$9,A16,'Gap Analysis'!$E$5:$E$9)</x:f>
        <x:v>52250</x:v>
      </x:c>
      <x:c r="G16" s="26" t="n">
        <x:f>E16*C16</x:f>
        <x:v>110250</x:v>
      </x:c>
      <x:c r="H16" s="26" t="n">
        <x:f>F16*D16</x:f>
        <x:v>47025</x:v>
      </x:c>
      <x:c r="I16" s="26" t="n">
        <x:f>MAX(G16-H16,0)</x:f>
        <x:v>63225</x:v>
      </x:c>
      <x:c r="J16" s="21" t="str">
        <x:v>Both illustrative stresses</x:v>
      </x:c>
    </x:row>
    <x:row r="17" ht="15" hidden="0" customHeight="1">
      <x:c r="A17" s="20" t="n">
        <x:v>2029</x:v>
      </x:c>
      <x:c r="B17" s="20" t="str">
        <x:v>Base</x:v>
      </x:c>
      <x:c r="C17" s="30" t="n">
        <x:v>1</x:v>
      </x:c>
      <x:c r="D17" s="30" t="n">
        <x:v>1</x:v>
      </x:c>
      <x:c r="E17" s="25" t="n">
        <x:f>SUMIF('Gap Analysis'!$A$5:$A$9,A17,'Gap Analysis'!$D$5:$D$9)</x:f>
        <x:v>108100</x:v>
      </x:c>
      <x:c r="F17" s="25" t="n">
        <x:f>SUMIF('Gap Analysis'!$A$5:$A$9,A17,'Gap Analysis'!$E$5:$E$9)</x:f>
        <x:v>57000</x:v>
      </x:c>
      <x:c r="G17" s="25" t="n">
        <x:f>E17*C17</x:f>
        <x:v>108100</x:v>
      </x:c>
      <x:c r="H17" s="25" t="n">
        <x:f>F17*D17</x:f>
        <x:v>57000</x:v>
      </x:c>
      <x:c r="I17" s="26" t="n">
        <x:f>MAX(G17-H17,0)</x:f>
        <x:v>51100</x:v>
      </x:c>
      <x:c r="J17" s="20" t="str">
        <x:v>Current demo inputs</x:v>
      </x:c>
    </x:row>
    <x:row r="18" ht="15" hidden="0" customHeight="1">
      <x:c r="A18" s="21" t="n">
        <x:v>2029</x:v>
      </x:c>
      <x:c r="B18" s="21" t="str">
        <x:v>Higher load</x:v>
      </x:c>
      <x:c r="C18" s="30" t="n">
        <x:v>1.05</x:v>
      </x:c>
      <x:c r="D18" s="30" t="n">
        <x:v>1</x:v>
      </x:c>
      <x:c r="E18" s="26" t="n">
        <x:f>SUMIF('Gap Analysis'!$A$5:$A$9,A18,'Gap Analysis'!$D$5:$D$9)</x:f>
        <x:v>108100</x:v>
      </x:c>
      <x:c r="F18" s="26" t="n">
        <x:f>SUMIF('Gap Analysis'!$A$5:$A$9,A18,'Gap Analysis'!$E$5:$E$9)</x:f>
        <x:v>57000</x:v>
      </x:c>
      <x:c r="G18" s="26" t="n">
        <x:f>E18*C18</x:f>
        <x:v>113505</x:v>
      </x:c>
      <x:c r="H18" s="26" t="n">
        <x:f>F18*D18</x:f>
        <x:v>57000</x:v>
      </x:c>
      <x:c r="I18" s="26" t="n">
        <x:f>MAX(G18-H18,0)</x:f>
        <x:v>56505</x:v>
      </x:c>
      <x:c r="J18" s="21" t="str">
        <x:v>+5% load — illustrative</x:v>
      </x:c>
    </x:row>
    <x:row r="19" ht="15" hidden="0" customHeight="1">
      <x:c r="A19" s="20" t="n">
        <x:v>2029</x:v>
      </x:c>
      <x:c r="B19" s="20" t="str">
        <x:v>Lower delivery</x:v>
      </x:c>
      <x:c r="C19" s="30" t="n">
        <x:v>1</x:v>
      </x:c>
      <x:c r="D19" s="30" t="n">
        <x:v>0.9</x:v>
      </x:c>
      <x:c r="E19" s="25" t="n">
        <x:f>SUMIF('Gap Analysis'!$A$5:$A$9,A19,'Gap Analysis'!$D$5:$D$9)</x:f>
        <x:v>108100</x:v>
      </x:c>
      <x:c r="F19" s="25" t="n">
        <x:f>SUMIF('Gap Analysis'!$A$5:$A$9,A19,'Gap Analysis'!$E$5:$E$9)</x:f>
        <x:v>57000</x:v>
      </x:c>
      <x:c r="G19" s="25" t="n">
        <x:f>E19*C19</x:f>
        <x:v>108100</x:v>
      </x:c>
      <x:c r="H19" s="25" t="n">
        <x:f>F19*D19</x:f>
        <x:v>51300</x:v>
      </x:c>
      <x:c r="I19" s="26" t="n">
        <x:f>MAX(G19-H19,0)</x:f>
        <x:v>56800</x:v>
      </x:c>
      <x:c r="J19" s="20" t="str">
        <x:v>-10% existing delivery — illustrative</x:v>
      </x:c>
    </x:row>
    <x:row r="20" ht="15" hidden="0" customHeight="1">
      <x:c r="A20" s="21" t="n">
        <x:v>2029</x:v>
      </x:c>
      <x:c r="B20" s="21" t="str">
        <x:v>Combined stress</x:v>
      </x:c>
      <x:c r="C20" s="30" t="n">
        <x:v>1.05</x:v>
      </x:c>
      <x:c r="D20" s="30" t="n">
        <x:v>0.9</x:v>
      </x:c>
      <x:c r="E20" s="26" t="n">
        <x:f>SUMIF('Gap Analysis'!$A$5:$A$9,A20,'Gap Analysis'!$D$5:$D$9)</x:f>
        <x:v>108100</x:v>
      </x:c>
      <x:c r="F20" s="26" t="n">
        <x:f>SUMIF('Gap Analysis'!$A$5:$A$9,A20,'Gap Analysis'!$E$5:$E$9)</x:f>
        <x:v>57000</x:v>
      </x:c>
      <x:c r="G20" s="26" t="n">
        <x:f>E20*C20</x:f>
        <x:v>113505</x:v>
      </x:c>
      <x:c r="H20" s="26" t="n">
        <x:f>F20*D20</x:f>
        <x:v>51300</x:v>
      </x:c>
      <x:c r="I20" s="26" t="n">
        <x:f>MAX(G20-H20,0)</x:f>
        <x:v>62205</x:v>
      </x:c>
      <x:c r="J20" s="21" t="str">
        <x:v>Both illustrative stresses</x:v>
      </x:c>
    </x:row>
    <x:row r="21" ht="15" hidden="0" customHeight="1">
      <x:c r="A21" s="20" t="n">
        <x:v>2030</x:v>
      </x:c>
      <x:c r="B21" s="20" t="str">
        <x:v>Base</x:v>
      </x:c>
      <x:c r="C21" s="30" t="n">
        <x:v>1</x:v>
      </x:c>
      <x:c r="D21" s="30" t="n">
        <x:v>1</x:v>
      </x:c>
      <x:c r="E21" s="25" t="n">
        <x:f>SUMIF('Gap Analysis'!$A$5:$A$9,A21,'Gap Analysis'!$D$5:$D$9)</x:f>
        <x:v>111400</x:v>
      </x:c>
      <x:c r="F21" s="25" t="n">
        <x:f>SUMIF('Gap Analysis'!$A$5:$A$9,A21,'Gap Analysis'!$E$5:$E$9)</x:f>
        <x:v>57000</x:v>
      </x:c>
      <x:c r="G21" s="25" t="n">
        <x:f>E21*C21</x:f>
        <x:v>111400</x:v>
      </x:c>
      <x:c r="H21" s="25" t="n">
        <x:f>F21*D21</x:f>
        <x:v>57000</x:v>
      </x:c>
      <x:c r="I21" s="26" t="n">
        <x:f>MAX(G21-H21,0)</x:f>
        <x:v>54400</x:v>
      </x:c>
      <x:c r="J21" s="20" t="str">
        <x:v>Current demo inputs</x:v>
      </x:c>
    </x:row>
    <x:row r="22" ht="15" hidden="0" customHeight="1">
      <x:c r="A22" s="21" t="n">
        <x:v>2030</x:v>
      </x:c>
      <x:c r="B22" s="21" t="str">
        <x:v>Higher load</x:v>
      </x:c>
      <x:c r="C22" s="30" t="n">
        <x:v>1.05</x:v>
      </x:c>
      <x:c r="D22" s="30" t="n">
        <x:v>1</x:v>
      </x:c>
      <x:c r="E22" s="26" t="n">
        <x:f>SUMIF('Gap Analysis'!$A$5:$A$9,A22,'Gap Analysis'!$D$5:$D$9)</x:f>
        <x:v>111400</x:v>
      </x:c>
      <x:c r="F22" s="26" t="n">
        <x:f>SUMIF('Gap Analysis'!$A$5:$A$9,A22,'Gap Analysis'!$E$5:$E$9)</x:f>
        <x:v>57000</x:v>
      </x:c>
      <x:c r="G22" s="26" t="n">
        <x:f>E22*C22</x:f>
        <x:v>116970</x:v>
      </x:c>
      <x:c r="H22" s="26" t="n">
        <x:f>F22*D22</x:f>
        <x:v>57000</x:v>
      </x:c>
      <x:c r="I22" s="26" t="n">
        <x:f>MAX(G22-H22,0)</x:f>
        <x:v>59970</x:v>
      </x:c>
      <x:c r="J22" s="21" t="str">
        <x:v>+5% load — illustrative</x:v>
      </x:c>
    </x:row>
    <x:row r="23" ht="15" hidden="0" customHeight="1">
      <x:c r="A23" s="20" t="n">
        <x:v>2030</x:v>
      </x:c>
      <x:c r="B23" s="20" t="str">
        <x:v>Lower delivery</x:v>
      </x:c>
      <x:c r="C23" s="30" t="n">
        <x:v>1</x:v>
      </x:c>
      <x:c r="D23" s="30" t="n">
        <x:v>0.9</x:v>
      </x:c>
      <x:c r="E23" s="25" t="n">
        <x:f>SUMIF('Gap Analysis'!$A$5:$A$9,A23,'Gap Analysis'!$D$5:$D$9)</x:f>
        <x:v>111400</x:v>
      </x:c>
      <x:c r="F23" s="25" t="n">
        <x:f>SUMIF('Gap Analysis'!$A$5:$A$9,A23,'Gap Analysis'!$E$5:$E$9)</x:f>
        <x:v>57000</x:v>
      </x:c>
      <x:c r="G23" s="25" t="n">
        <x:f>E23*C23</x:f>
        <x:v>111400</x:v>
      </x:c>
      <x:c r="H23" s="25" t="n">
        <x:f>F23*D23</x:f>
        <x:v>51300</x:v>
      </x:c>
      <x:c r="I23" s="26" t="n">
        <x:f>MAX(G23-H23,0)</x:f>
        <x:v>60100</x:v>
      </x:c>
      <x:c r="J23" s="20" t="str">
        <x:v>-10% existing delivery — illustrative</x:v>
      </x:c>
    </x:row>
    <x:row r="24" ht="15" hidden="0" customHeight="1">
      <x:c r="A24" s="21" t="n">
        <x:v>2030</x:v>
      </x:c>
      <x:c r="B24" s="21" t="str">
        <x:v>Combined stress</x:v>
      </x:c>
      <x:c r="C24" s="30" t="n">
        <x:v>1.05</x:v>
      </x:c>
      <x:c r="D24" s="30" t="n">
        <x:v>0.9</x:v>
      </x:c>
      <x:c r="E24" s="26" t="n">
        <x:f>SUMIF('Gap Analysis'!$A$5:$A$9,A24,'Gap Analysis'!$D$5:$D$9)</x:f>
        <x:v>111400</x:v>
      </x:c>
      <x:c r="F24" s="26" t="n">
        <x:f>SUMIF('Gap Analysis'!$A$5:$A$9,A24,'Gap Analysis'!$E$5:$E$9)</x:f>
        <x:v>57000</x:v>
      </x:c>
      <x:c r="G24" s="26" t="n">
        <x:f>E24*C24</x:f>
        <x:v>116970</x:v>
      </x:c>
      <x:c r="H24" s="26" t="n">
        <x:f>F24*D24</x:f>
        <x:v>51300</x:v>
      </x:c>
      <x:c r="I24" s="26" t="n">
        <x:f>MAX(G24-H24,0)</x:f>
        <x:v>65670</x:v>
      </x:c>
      <x:c r="J24" s="21" t="str">
        <x:v>Both illustrative stresses</x:v>
      </x:c>
    </x:row>
  </x:sheetData>
  <x:pageMargins left="0.7" right="0.7" top="0.75" bottom="0.75" header="0.3" footer="0.3"/>
  <x:tableParts count="1">
    <x:tablePart xmlns:r="http://schemas.openxmlformats.org/officeDocument/2006/relationships" r:id="Rbe1f8ee737574b7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8" hidden="0" customWidth="1"/>
    <x:col min="2" max="2" width="44" hidden="0" customWidth="1"/>
    <x:col min="3" max="3" width="30" hidden="0" customWidth="1"/>
    <x:col min="4" max="4" width="16" hidden="0" customWidth="1"/>
    <x:col min="5" max="5" width="38" hidden="0" customWidth="1"/>
  </x:cols>
  <x:sheetData>
    <x:row r="1" ht="8" customHeight="1"/>
    <x:row r="2" ht="15" hidden="0" customHeight="1">
      <x:c r="A2" s="36" t="str">
        <x:v>G3 management summary — decision draft</x:v>
      </x:c>
      <x:c r="B2" s="37"/>
      <x:c r="C2" s="37"/>
      <x:c r="D2" s="37"/>
      <x:c r="E2" s="37"/>
      <x:c r="F2" s="37"/>
      <x:c r="G2" s="37"/>
      <x:c r="H2" s="37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</x:row>
    <x:row r="4" ht="15" hidden="0" customHeight="1">
      <x:c r="A4" s="42" t="str">
        <x:v>Metric</x:v>
      </x:c>
      <x:c r="B4" s="42" t="str">
        <x:v>Value</x:v>
      </x:c>
      <x:c r="C4" s="37"/>
      <x:c r="D4" s="37"/>
      <x:c r="E4" s="37"/>
      <x:c r="F4" s="37"/>
      <x:c r="G4" s="37"/>
      <x:c r="H4" s="37"/>
    </x:row>
    <x:row r="5" ht="15" hidden="0" customHeight="1">
      <x:c r="A5" s="43" t="str">
        <x:v>First 100% target year</x:v>
      </x:c>
      <x:c r="B5" s="44" t="n">
        <x:v>2028</x:v>
      </x:c>
      <x:c r="C5" s="37"/>
      <x:c r="D5" s="37"/>
      <x:c r="E5" s="37"/>
      <x:c r="F5" s="37"/>
      <x:c r="G5" s="37"/>
      <x:c r="H5" s="37"/>
    </x:row>
    <x:row r="6" ht="15" hidden="0" customHeight="1">
      <x:c r="A6" s="43" t="str">
        <x:v>Base gap in first 100% year</x:v>
      </x:c>
      <x:c r="B6" s="45" t="n">
        <x:f>SUMIF('Gap Analysis'!$A$5:$A$9,B5,'Gap Analysis'!$F$5:$F$9)</x:f>
        <x:v>52750</x:v>
      </x:c>
      <x:c r="C6" s="37"/>
      <x:c r="D6" s="37"/>
      <x:c r="E6" s="37"/>
      <x:c r="F6" s="37"/>
      <x:c r="G6" s="37"/>
      <x:c r="H6" s="37"/>
    </x:row>
    <x:row r="7" ht="15" hidden="0" customHeight="1">
      <x:c r="A7" s="43" t="str">
        <x:v>Combined-stress gap in first 100% year</x:v>
      </x:c>
      <x:c r="B7" s="45" t="n">
        <x:f>SUMIFS(Sensitivity!$I$5:$I$24,Sensitivity!$A$5:$A$24,B5,Sensitivity!$B$5:$B$24,"Combined stress")</x:f>
        <x:v>63225</x:v>
      </x:c>
      <x:c r="C7" s="37"/>
      <x:c r="D7" s="37"/>
      <x:c r="E7" s="37"/>
      <x:c r="F7" s="37"/>
      <x:c r="G7" s="37"/>
      <x:c r="H7" s="37"/>
    </x:row>
    <x:row r="8" ht="15" hidden="0" customHeight="1">
      <x:c r="A8" s="43" t="str">
        <x:v>Base coverage in first 100% year</x:v>
      </x:c>
      <x:c r="B8" s="46" t="n">
        <x:f>SUMIF('Gap Analysis'!$A$5:$A$9,B5,'Gap Analysis'!$G$5:$G$9)</x:f>
        <x:v>0.4976190476190476</x:v>
      </x:c>
      <x:c r="C8" s="37"/>
      <x:c r="D8" s="37"/>
      <x:c r="E8" s="37"/>
      <x:c r="F8" s="37"/>
      <x:c r="G8" s="37"/>
      <x:c r="H8" s="37"/>
    </x:row>
    <x:row r="9" ht="15" hidden="0" customHeight="1">
      <x:c r="A9" s="43" t="str">
        <x:v>Boundary status</x:v>
      </x:c>
      <x:c r="B9" s="44" t="str">
        <x:v>TBD WITH CLIENT</x:v>
      </x:c>
      <x:c r="C9" s="37"/>
      <x:c r="D9" s="37"/>
      <x:c r="E9" s="37"/>
      <x:c r="F9" s="37"/>
      <x:c r="G9" s="37"/>
      <x:c r="H9" s="37"/>
    </x:row>
    <x:row r="10" ht="15" hidden="0" customHeight="1">
      <x:c r="A10" s="43" t="str">
        <x:v>Truth status</x:v>
      </x:c>
      <x:c r="B10" s="44" t="str">
        <x:v>SYNTHETIC / DEMO DATA</x:v>
      </x:c>
      <x:c r="C10" s="37"/>
      <x:c r="D10" s="37"/>
      <x:c r="E10" s="37"/>
      <x:c r="F10" s="37"/>
      <x:c r="G10" s="37"/>
      <x:c r="H10" s="37"/>
    </x:row>
    <x:row r="11" ht="15" hidden="0" customHeight="1">
      <x:c r="A11" s="37"/>
      <x:c r="B11" s="37"/>
      <x:c r="C11" s="37"/>
      <x:c r="D11" s="37"/>
      <x:c r="E11" s="37"/>
      <x:c r="F11" s="37"/>
      <x:c r="G11" s="37"/>
      <x:c r="H11" s="37"/>
    </x:row>
    <x:row r="12" ht="15" hidden="0" customHeight="1">
      <x:c r="A12" s="37"/>
      <x:c r="B12" s="37"/>
      <x:c r="C12" s="37"/>
      <x:c r="D12" s="37"/>
      <x:c r="E12" s="37"/>
      <x:c r="F12" s="37"/>
      <x:c r="G12" s="37"/>
      <x:c r="H12" s="37"/>
    </x:row>
    <x:row r="13" ht="15" hidden="0" customHeight="1">
      <x:c r="A13" s="16" t="str">
        <x:v>G3 decision</x:v>
      </x:c>
      <x:c r="B13" s="16" t="str">
        <x:v>Required evidence</x:v>
      </x:c>
      <x:c r="C13" s="16" t="str">
        <x:v>Owner</x:v>
      </x:c>
      <x:c r="D13" s="16" t="str">
        <x:v>Status</x:v>
      </x:c>
      <x:c r="E13" s="16" t="str">
        <x:v>Handoff if approved</x:v>
      </x:c>
      <x:c r="F13" s="37"/>
      <x:c r="G13" s="37"/>
      <x:c r="H13" s="37"/>
    </x:row>
    <x:row r="14" ht="15" hidden="0" customHeight="1">
      <x:c r="A14" s="20" t="str">
        <x:v>Approve calculation boundary</x:v>
      </x:c>
      <x:c r="B14" s="20" t="str">
        <x:v>entity / site / load / period card</x:v>
      </x:c>
      <x:c r="C14" s="20" t="str">
        <x:v>TBD WITH CLIENT</x:v>
      </x:c>
      <x:c r="D14" s="20" t="str">
        <x:v>Open</x:v>
      </x:c>
      <x:c r="E14" s="20" t="str">
        <x:v>Locks denominator</x:v>
      </x:c>
      <x:c r="F14" s="37"/>
      <x:c r="G14" s="37"/>
      <x:c r="H14" s="37"/>
    </x:row>
    <x:row r="15" ht="15" hidden="0" customHeight="1">
      <x:c r="A15" s="21" t="str">
        <x:v>Approve target curve and policy source</x:v>
      </x:c>
      <x:c r="B15" s="21" t="str">
        <x:v>formal policy + version</x:v>
      </x:c>
      <x:c r="C15" s="21" t="str">
        <x:v>Sustainability owner — TBD</x:v>
      </x:c>
      <x:c r="D15" s="21" t="str">
        <x:v>Open</x:v>
      </x:c>
      <x:c r="E15" s="21" t="str">
        <x:v>Locks required MWh</x:v>
      </x:c>
      <x:c r="F15" s="37"/>
      <x:c r="G15" s="37"/>
      <x:c r="H15" s="37"/>
    </x:row>
    <x:row r="16" ht="15" hidden="0" customHeight="1">
      <x:c r="A16" s="20" t="str">
        <x:v>Approve existing procurement treatment</x:v>
      </x:c>
      <x:c r="B16" s="20" t="str">
        <x:v>contract / delivery / eligibility evidence</x:v>
      </x:c>
      <x:c r="C16" s="20" t="str">
        <x:v>Procurement + Sustainability — TBD</x:v>
      </x:c>
      <x:c r="D16" s="20" t="str">
        <x:v>Open</x:v>
      </x:c>
      <x:c r="E16" s="20" t="str">
        <x:v>Locks numerator</x:v>
      </x:c>
      <x:c r="F16" s="37"/>
      <x:c r="G16" s="37"/>
      <x:c r="H16" s="37"/>
    </x:row>
    <x:row r="17" ht="15" hidden="0" customHeight="1">
      <x:c r="A17" s="21" t="str">
        <x:v>Approve gap range for 1.5</x:v>
      </x:c>
      <x:c r="B17" s="21" t="str">
        <x:v>base + stress + quality conditions</x:v>
      </x:c>
      <x:c r="C17" s="21" t="str">
        <x:v>G3 decision body — TBD</x:v>
      </x:c>
      <x:c r="D17" s="21" t="str">
        <x:v>Open</x:v>
      </x:c>
      <x:c r="E17" s="21" t="str">
        <x:v>Annual demand input to scenarios</x:v>
      </x:c>
      <x:c r="F17" s="37"/>
      <x:c r="G17" s="37"/>
      <x:c r="H17" s="37"/>
    </x:row>
    <x:row r="18" ht="15" hidden="0" customHeight="1">
      <x:c r="A18" s="37"/>
      <x:c r="B18" s="37"/>
      <x:c r="C18" s="37"/>
      <x:c r="D18" s="37"/>
      <x:c r="E18" s="37"/>
      <x:c r="F18" s="37"/>
      <x:c r="G18" s="37"/>
      <x:c r="H18" s="37"/>
    </x:row>
    <x:row r="19" ht="15" hidden="0" customHeight="1">
      <x:c r="A19" s="37"/>
      <x:c r="B19" s="37"/>
      <x:c r="C19" s="37"/>
      <x:c r="D19" s="37"/>
      <x:c r="E19" s="37"/>
      <x:c r="F19" s="37"/>
      <x:c r="G19" s="37"/>
      <x:c r="H19" s="37"/>
    </x:row>
    <x:row r="20" ht="15" hidden="0" customHeight="1">
      <x:c r="A20" s="41" t="str">
        <x:v>Management note</x:v>
      </x:c>
      <x:c r="B20" s="41" t="str"/>
      <x:c r="C20" s="37"/>
      <x:c r="D20" s="37"/>
      <x:c r="E20" s="37"/>
      <x:c r="F20" s="37"/>
      <x:c r="G20" s="37"/>
      <x:c r="H20" s="37"/>
    </x:row>
    <x:row r="21" ht="15" hidden="0" customHeight="1">
      <x:c r="A21" s="40" t="str">
        <x:v>What the demo proves</x:v>
      </x:c>
      <x:c r="B21" s="40" t="str">
        <x:v>Formulas, handoffs and sensitivity logic run end-to-end.</x:v>
      </x:c>
      <x:c r="C21" s="37"/>
      <x:c r="D21" s="37"/>
      <x:c r="E21" s="37"/>
      <x:c r="F21" s="37"/>
      <x:c r="G21" s="37"/>
      <x:c r="H21" s="37"/>
    </x:row>
    <x:row r="22" ht="24" hidden="0" customHeight="1">
      <x:c r="A22" s="40" t="str">
        <x:v>What it does not prove</x:v>
      </x:c>
      <x:c r="B22" s="40" t="str">
        <x:v>No AMAT load, target, policy, site or procurement fact is established.</x:v>
      </x:c>
      <x:c r="C22" s="37"/>
      <x:c r="D22" s="37"/>
      <x:c r="E22" s="37"/>
      <x:c r="F22" s="37"/>
      <x:c r="G22" s="37"/>
      <x:c r="H22" s="37"/>
    </x:row>
    <x:row r="23" ht="24" hidden="0" customHeight="1">
      <x:c r="A23" s="40" t="str">
        <x:v>Next action</x:v>
      </x:c>
      <x:c r="B23" s="40" t="str">
        <x:v>Replace demo rows, reconcile totals and obtain named G3 approvals.</x:v>
      </x:c>
      <x:c r="C23" s="37"/>
      <x:c r="D23" s="37"/>
      <x:c r="E23" s="37"/>
      <x:c r="F23" s="37"/>
      <x:c r="G23" s="37"/>
      <x:c r="H23" s="37"/>
    </x:row>
  </x:sheetData>
  <x:dataValidations count="1">
    <x:dataValidation type="list" sqref="D14:D17">
      <x:formula1>"Open,Approved,Approved with condition,Rejected"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3a3c2111145e4"/>
  </x:tableParts>
</x:worksheet>
</file>