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ef3639eae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1e0a19f6b744bb4"/>
    <x:sheet xmlns:r="http://schemas.openxmlformats.org/officeDocument/2006/relationships" name="Landscape" sheetId="2" r:id="Rc22adade43094b50"/>
    <x:sheet xmlns:r="http://schemas.openxmlformats.org/officeDocument/2006/relationships" name="Screening" sheetId="3" r:id="R556df779e3ed41f8"/>
    <x:sheet xmlns:r="http://schemas.openxmlformats.org/officeDocument/2006/relationships" name="Source Log" sheetId="4" r:id="R9895f71176cf496f"/>
    <x:sheet xmlns:r="http://schemas.openxmlformats.org/officeDocument/2006/relationships" name="G5 Summary" sheetId="5" r:id="R5fc7a907dc45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"/>
  </x:numFmts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201" fontId="0" fillId="4" borderId="3" xfId="0" applyNumberFormat="1" applyFont="1" applyFill="1" applyBorder="1"/>
    <x:xf numFmtId="202" fontId="3" fillId="0" borderId="3" xfId="0" applyNumberFormat="1" applyFont="1" applyFill="1" applyBorder="1" applyAlignment="1">
      <x:alignment vertical="center" wrapText="1"/>
    </x:xf>
    <x:xf numFmtId="202" fontId="3" fillId="3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201" fontId="3" fillId="4" borderId="3" xfId="0" applyNumberFormat="1" applyFont="1" applyFill="1" applyBorder="1"/>
    <x:xf numFmtId="0" fontId="2" fillId="2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/>
    </x:xf>
    <x:xf numFmtId="201" fontId="3" fillId="4" borderId="3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6ba3777594936" /><Relationship Type="http://schemas.openxmlformats.org/officeDocument/2006/relationships/theme" Target="/xl/theme/theme1.xml" Id="R3b5800b466d547ed" /><Relationship Type="http://schemas.openxmlformats.org/officeDocument/2006/relationships/sharedStrings" Target="/xl/sharedStrings.xml" Id="R92092efe33e44709" /><Relationship Type="http://schemas.openxmlformats.org/officeDocument/2006/relationships/worksheet" Target="/xl/worksheets/sheet1.xml" Id="R91e0a19f6b744bb4" /><Relationship Type="http://schemas.openxmlformats.org/officeDocument/2006/relationships/worksheet" Target="/xl/worksheets/sheet2.xml" Id="Rc22adade43094b50" /><Relationship Type="http://schemas.openxmlformats.org/officeDocument/2006/relationships/worksheet" Target="/xl/worksheets/sheet3.xml" Id="R556df779e3ed41f8" /><Relationship Type="http://schemas.openxmlformats.org/officeDocument/2006/relationships/worksheet" Target="/xl/worksheets/sheet4.xml" Id="R9895f71176cf496f" /><Relationship Type="http://schemas.openxmlformats.org/officeDocument/2006/relationships/worksheet" Target="/xl/worksheets/sheet5.xml" Id="R5fc7a907dc454475" /></Relationships>
</file>

<file path=xl/tables/table1.xml><?xml version="1.0" encoding="utf-8"?>
<x:table xmlns:x="http://schemas.openxmlformats.org/spreadsheetml/2006/main" id="1" name="MarketInstructions" displayName="MarketInstructions" ref="A4:F9" headerRowCount="1" totalsRowCount="0" totalsRowShown="0">
  <x:tableColumns count="6">
    <x:tableColumn id="1" name="Control"/>
    <x:tableColumn id="2" name="Rule"/>
    <x:tableColumn id="3" name="Why"/>
    <x:tableColumn id="4" name="Allowed status"/>
    <x:tableColumn id="5" name="Owner"/>
    <x:tableColumn id="6" name="Decision effe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dscapeTable" displayName="LandscapeTable" ref="A4:U8" headerRowCount="1" totalsRowCount="0" totalsRowShown="0">
  <x:tableColumns count="21">
    <x:tableColumn id="1" name="Entity ID"/>
    <x:tableColumn id="2" name="Route ID"/>
    <x:tableColumn id="3" name="Asset ID"/>
    <x:tableColumn id="4" name="Category"/>
    <x:tableColumn id="5" name="Route / role"/>
    <x:tableColumn id="6" name="Technology"/>
    <x:tableColumn id="7" name="Location band"/>
    <x:tableColumn id="8" name="Maturity"/>
    <x:tableColumn id="9" name="Start / COD"/>
    <x:tableColumn id="10" name="Annual MWh"/>
    <x:tableColumn id="11" name="Profile"/>
    <x:tableColumn id="12" name="Tenor years"/>
    <x:tableColumn id="13" name="Price structure"/>
    <x:tableColumn id="14" name="Execution dependency"/>
    <x:tableColumn id="15" name="Certificate treatment"/>
    <x:tableColumn id="16" name="Availability"/>
    <x:tableColumn id="17" name="Source ID"/>
    <x:tableColumn id="18" name="As-of"/>
    <x:tableColumn id="19" name="Confidence"/>
    <x:tableColumn id="20" name="Truth status"/>
    <x:tableColumn id="21" name="Next ver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eeningTable" displayName="ScreeningTable" ref="A8:N12" headerRowCount="1" totalsRowCount="0" totalsRowShown="0">
  <x:tableColumns count="14">
    <x:tableColumn id="1" name="Entity ID"/>
    <x:tableColumn id="2" name="Route ID"/>
    <x:tableColumn id="3" name="Hard screen"/>
    <x:tableColumn id="4" name="Reason / condition"/>
    <x:tableColumn id="5" name="Volume / timing"/>
    <x:tableColumn id="6" name="Maturity"/>
    <x:tableColumn id="7" name="Commercial fit"/>
    <x:tableColumn id="8" name="Execution"/>
    <x:tableColumn id="9" name="Certificate"/>
    <x:tableColumn id="10" name="Credit"/>
    <x:tableColumn id="11" name="Flexibility"/>
    <x:tableColumn id="12" name="Evidence"/>
    <x:tableColumn id="13" name="Weighted score"/>
    <x:tableColumn id="14" name="Priority t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LogTable" displayName="SourceLogTable" ref="A4:K7" headerRowCount="1" totalsRowCount="0" totalsRowShown="0">
  <x:tableColumns count="11">
    <x:tableColumn id="1" name="Source ID"/>
    <x:tableColumn id="2" name="Entity / asset ID"/>
    <x:tableColumn id="3" name="Publisher"/>
    <x:tableColumn id="4" name="Title / file"/>
    <x:tableColumn id="5" name="URL / location"/>
    <x:tableColumn id="6" name="Published / as-of"/>
    <x:tableColumn id="7" name="Accessed"/>
    <x:tableColumn id="8" name="Evidence grade"/>
    <x:tableColumn id="9" name="Claim supported"/>
    <x:tableColumn id="10" name="Truth status"/>
    <x:tableColumn id="11" name="Reviewer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5CoverageTable" displayName="G5CoverageTable" ref="A4:F8" headerRowCount="1" totalsRowCount="0" totalsRowShown="0">
  <x:tableColumns count="6">
    <x:tableColumn id="1" name="Category"/>
    <x:tableColumn id="2" name="Rows"/>
    <x:tableColumn id="3" name="Conditional"/>
    <x:tableColumn id="4" name="Fail"/>
    <x:tableColumn id="5" name="Decision use"/>
    <x:tableColumn id="6" name="Gap / next 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5DecisionTable" displayName="G5DecisionTable" ref="A11:E15" headerRowCount="1" totalsRowCount="0" totalsRowShown="0">
  <x:tableColumns count="5">
    <x:tableColumn id="1" name="Decision"/>
    <x:tableColumn id="2" name="Preliminary position"/>
    <x:tableColumn id="3" name="Evidence boundary"/>
    <x:tableColumn id="4" name="Owner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d880739a8c4a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b24e784254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9ccb0df5a2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449dc739ec4c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362c85a2b74477" /><Relationship Type="http://schemas.openxmlformats.org/officeDocument/2006/relationships/table" Target="/xl/tables/table6.xml" Id="R8a5e6dfec3764d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40" hidden="0" customWidth="1"/>
    <x:col min="4" max="4" width="42" hidden="0" customWidth="1"/>
    <x:col min="5" max="5" width="22" hidden="0" customWidth="1"/>
    <x:col min="6" max="6" width="34" hidden="0" customWidth="1"/>
  </x:cols>
  <x:sheetData>
    <x:row r="2" ht="15" hidden="0" customHeight="1">
      <x:c r="A2" s="26" t="str">
        <x:v>Market landscape — controls and evidence rules</x:v>
      </x:c>
      <x:c r="B2" s="27"/>
      <x:c r="C2" s="27"/>
      <x:c r="D2" s="27"/>
      <x:c r="E2" s="27"/>
      <x:c r="F2" s="27"/>
    </x:row>
    <x:row r="3" ht="15" hidden="0" customHeight="1">
      <x:c r="A3" s="28"/>
      <x:c r="B3" s="28"/>
      <x:c r="C3" s="28"/>
      <x:c r="D3" s="28"/>
      <x:c r="E3" s="28"/>
      <x:c r="F3" s="28"/>
    </x:row>
    <x:row r="4" ht="15" hidden="0" customHeight="1">
      <x:c r="A4" s="29" t="str">
        <x:v>Control</x:v>
      </x:c>
      <x:c r="B4" s="29" t="str">
        <x:v>Rule</x:v>
      </x:c>
      <x:c r="C4" s="29" t="str">
        <x:v>Why</x:v>
      </x:c>
      <x:c r="D4" s="29" t="str">
        <x:v>Allowed status</x:v>
      </x:c>
      <x:c r="E4" s="29" t="str">
        <x:v>Owner</x:v>
      </x:c>
      <x:c r="F4" s="29" t="str">
        <x:v>Decision effect</x:v>
      </x:c>
    </x:row>
    <x:row r="5" ht="24" hidden="0" customHeight="1">
      <x:c r="A5" s="11" t="str">
        <x:v>Truth status</x:v>
      </x:c>
      <x:c r="B5" s="11" t="str">
        <x:v>Label each material field; blank is unknown, not zero</x:v>
      </x:c>
      <x:c r="C5" s="11" t="str">
        <x:v>Prevents false certainty</x:v>
      </x:c>
      <x:c r="D5" s="11" t="str">
        <x:v>KNOWN / HYPOTHESIS / TBD WITH CLIENT / SYNTHETIC / RESEARCH REQUIRED</x:v>
      </x:c>
      <x:c r="E5" s="11" t="str">
        <x:v>Analyst + reviewer</x:v>
      </x:c>
      <x:c r="F5" s="11" t="str">
        <x:v>Controls use in shortlist</x:v>
      </x:c>
    </x:row>
    <x:row r="6" ht="24" hidden="0" customHeight="1">
      <x:c r="A6" s="12" t="str">
        <x:v>Evidence</x:v>
      </x:c>
      <x:c r="B6" s="12" t="str">
        <x:v>Record source, publisher, as-of date and grade</x:v>
      </x:c>
      <x:c r="C6" s="12" t="str">
        <x:v>Makes claims traceable</x:v>
      </x:c>
      <x:c r="D6" s="12" t="str">
        <x:v>Official / counterparty / formal corporate / secondary / anecdote</x:v>
      </x:c>
      <x:c r="E6" s="12" t="str">
        <x:v>Analyst</x:v>
      </x:c>
      <x:c r="F6" s="12" t="str">
        <x:v>Determines confidence</x:v>
      </x:c>
    </x:row>
    <x:row r="7" ht="15" hidden="0" customHeight="1">
      <x:c r="A7" s="11" t="str">
        <x:v>Hard screen</x:v>
      </x:c>
      <x:c r="B7" s="11" t="str">
        <x:v>Must be explicit and evidence-backed</x:v>
      </x:c>
      <x:c r="C7" s="11" t="str">
        <x:v>Score cannot waive a hard constraint</x:v>
      </x:c>
      <x:c r="D7" s="11" t="str">
        <x:v>PASS / FAIL / CONDITIONAL</x:v>
      </x:c>
      <x:c r="E7" s="11" t="str">
        <x:v>Project Lead</x:v>
      </x:c>
      <x:c r="F7" s="11" t="str">
        <x:v>Contact / exclude / resolve</x:v>
      </x:c>
    </x:row>
    <x:row r="8" ht="15" hidden="0" customHeight="1">
      <x:c r="A8" s="12" t="str">
        <x:v>Disclosure</x:v>
      </x:c>
      <x:c r="B8" s="12" t="str">
        <x:v>No AMAT identity, site, volume or timing without authority</x:v>
      </x:c>
      <x:c r="C8" s="12" t="str">
        <x:v>Protects client and market relationships</x:v>
      </x:c>
      <x:c r="D8" s="12" t="str">
        <x:v>Desktop / Anonymous / Named / RFQ</x:v>
      </x:c>
      <x:c r="E8" s="12" t="str">
        <x:v>Project Lead</x:v>
      </x:c>
      <x:c r="F8" s="12" t="str">
        <x:v>Limits research / outreach</x:v>
      </x:c>
    </x:row>
    <x:row r="9" ht="15" hidden="0" customHeight="1">
      <x:c r="A9" s="11" t="str">
        <x:v>Demo</x:v>
      </x:c>
      <x:c r="B9" s="11" t="str">
        <x:v>Seeded rows are fictional and cannot support a client conclusion</x:v>
      </x:c>
      <x:c r="C9" s="11" t="str">
        <x:v>Tests model only</x:v>
      </x:c>
      <x:c r="D9" s="11" t="str">
        <x:v>SYNTHETIC / DEMO DATA</x:v>
      </x:c>
      <x:c r="E9" s="11" t="str">
        <x:v>Model owner</x:v>
      </x:c>
      <x:c r="F9" s="11" t="str">
        <x:v>Replace before use</x:v>
      </x:c>
    </x:row>
  </x:sheetData>
  <x:pageMargins left="0.7" right="0.7" top="0.75" bottom="0.75" header="0.3" footer="0.3"/>
  <x:tableParts count="1">
    <x:tablePart xmlns:r="http://schemas.openxmlformats.org/officeDocument/2006/relationships" r:id="Rd9d880739a8c4a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4" hidden="0" customWidth="1"/>
    <x:col min="5" max="5" width="32" hidden="0" customWidth="1"/>
    <x:col min="6" max="6" width="18" hidden="0" customWidth="1"/>
    <x:col min="7" max="7" width="22" hidden="0" customWidth="1"/>
    <x:col min="8" max="8" width="24" hidden="0" customWidth="1"/>
    <x:col min="9" max="9" width="18" hidden="0" customWidth="1"/>
    <x:col min="10" max="10" width="16" hidden="0" customWidth="1"/>
    <x:col min="11" max="11" width="18" hidden="0" customWidth="1"/>
    <x:col min="12" max="12" width="14" hidden="0" customWidth="1"/>
    <x:col min="13" max="13" width="26" hidden="0" customWidth="1"/>
    <x:col min="14" max="14" width="32" hidden="0" customWidth="1"/>
    <x:col min="15" max="15" width="28" hidden="0" customWidth="1"/>
    <x:col min="16" max="16" width="18" hidden="0" customWidth="1"/>
    <x:col min="17" max="17" width="18" hidden="0" customWidth="1"/>
    <x:col min="18" max="18" width="16" hidden="0" customWidth="1"/>
    <x:col min="19" max="19" width="14" hidden="0" customWidth="1"/>
    <x:col min="20" max="20" width="26" hidden="0" customWidth="1"/>
    <x:col min="21" max="21" width="42" hidden="0" customWidth="1"/>
  </x:cols>
  <x:sheetData>
    <x:row r="2" ht="15" hidden="0" customHeight="1">
      <x:c r="A2" s="26" t="str">
        <x:v>Market landscape — synthetic demonstration universe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7"/>
    </x:row>
    <x:row r="4" ht="15" hidden="0" customHeight="1">
      <x:c r="A4" s="29" t="str">
        <x:v>Entity ID</x:v>
      </x:c>
      <x:c r="B4" s="29" t="str">
        <x:v>Route ID</x:v>
      </x:c>
      <x:c r="C4" s="29" t="str">
        <x:v>Asset ID</x:v>
      </x:c>
      <x:c r="D4" s="29" t="str">
        <x:v>Category</x:v>
      </x:c>
      <x:c r="E4" s="29" t="str">
        <x:v>Route / role</x:v>
      </x:c>
      <x:c r="F4" s="29" t="str">
        <x:v>Technology</x:v>
      </x:c>
      <x:c r="G4" s="29" t="str">
        <x:v>Location band</x:v>
      </x:c>
      <x:c r="H4" s="29" t="str">
        <x:v>Maturity</x:v>
      </x:c>
      <x:c r="I4" s="29" t="str">
        <x:v>Start / COD</x:v>
      </x:c>
      <x:c r="J4" s="29" t="str">
        <x:v>Annual MWh</x:v>
      </x:c>
      <x:c r="K4" s="29" t="str">
        <x:v>Profile</x:v>
      </x:c>
      <x:c r="L4" s="29" t="str">
        <x:v>Tenor years</x:v>
      </x:c>
      <x:c r="M4" s="29" t="str">
        <x:v>Price structure</x:v>
      </x:c>
      <x:c r="N4" s="29" t="str">
        <x:v>Execution dependency</x:v>
      </x:c>
      <x:c r="O4" s="29" t="str">
        <x:v>Certificate treatment</x:v>
      </x:c>
      <x:c r="P4" s="29" t="str">
        <x:v>Availability</x:v>
      </x:c>
      <x:c r="Q4" s="29" t="str">
        <x:v>Source ID</x:v>
      </x:c>
      <x:c r="R4" s="29" t="str">
        <x:v>As-of</x:v>
      </x:c>
      <x:c r="S4" s="29" t="str">
        <x:v>Confidence</x:v>
      </x:c>
      <x:c r="T4" s="29" t="str">
        <x:v>Truth status</x:v>
      </x:c>
      <x:c r="U4" s="29" t="str">
        <x:v>Next verification</x:v>
      </x:c>
    </x:row>
    <x:row r="5" ht="15" hidden="0" customHeight="1">
      <x:c r="A5" s="11" t="str">
        <x:v>ENT-DEMO-01</x:v>
      </x:c>
      <x:c r="B5" s="11" t="str">
        <x:v>ROUTE-DEMO-01</x:v>
      </x:c>
      <x:c r="C5" s="11" t="str">
        <x:v>AST-DEMO-01</x:v>
      </x:c>
      <x:c r="D5" s="11" t="str">
        <x:v>Retailer interface</x:v>
      </x:c>
      <x:c r="E5" s="11" t="str">
        <x:v>Offsite bundled route</x:v>
      </x:c>
      <x:c r="F5" s="11" t="str">
        <x:v>Solar</x:v>
      </x:c>
      <x:c r="G5" s="11" t="str">
        <x:v>North / demo</x:v>
      </x:c>
      <x:c r="H5" s="11" t="str">
        <x:v>Operating / unverified</x:v>
      </x:c>
      <x:c r="I5" s="11" t="str">
        <x:v>2027 range</x:v>
      </x:c>
      <x:c r="J5" s="15" t="n">
        <x:v>18000</x:v>
      </x:c>
      <x:c r="K5" s="16" t="str">
        <x:v>Shaped / TBD</x:v>
      </x:c>
      <x:c r="L5" s="16" t="n">
        <x:v>5</x:v>
      </x:c>
      <x:c r="M5" s="16" t="str">
        <x:v>Fixed + index / demo</x:v>
      </x:c>
      <x:c r="N5" s="16" t="str">
        <x:v>Wheeling + meter</x:v>
      </x:c>
      <x:c r="O5" s="16" t="str">
        <x:v>Bundled / verify</x:v>
      </x:c>
      <x:c r="P5" s="11" t="str">
        <x:v>Unverified</x:v>
      </x:c>
      <x:c r="Q5" s="11" t="str">
        <x:v>Demo Source 01</x:v>
      </x:c>
      <x:c r="R5" s="11" t="str">
        <x:v>2026-09-27</x:v>
      </x:c>
      <x:c r="S5" s="11" t="str">
        <x:v>Low</x:v>
      </x:c>
      <x:c r="T5" s="11" t="str">
        <x:v>SYNTHETIC / DEMO DATA</x:v>
      </x:c>
      <x:c r="U5" s="11" t="str">
        <x:v>Verify licensing, asset control and start date</x:v>
      </x:c>
    </x:row>
    <x:row r="6" ht="15" hidden="0" customHeight="1">
      <x:c r="A6" s="12" t="str">
        <x:v>ENT-DEMO-02</x:v>
      </x:c>
      <x:c r="B6" s="12" t="str">
        <x:v>ROUTE-DEMO-02</x:v>
      </x:c>
      <x:c r="C6" s="12" t="str">
        <x:v>AST-DEMO-02</x:v>
      </x:c>
      <x:c r="D6" s="12" t="str">
        <x:v>Developer / generator</x:v>
      </x:c>
      <x:c r="E6" s="12" t="str">
        <x:v>Direct / CPPA hypothesis</x:v>
      </x:c>
      <x:c r="F6" s="12" t="str">
        <x:v>Wind</x:v>
      </x:c>
      <x:c r="G6" s="12" t="str">
        <x:v>Central / demo</x:v>
      </x:c>
      <x:c r="H6" s="12" t="str">
        <x:v>Development / unverified</x:v>
      </x:c>
      <x:c r="I6" s="12" t="str">
        <x:v>2029 range</x:v>
      </x:c>
      <x:c r="J6" s="15" t="n">
        <x:v>32000</x:v>
      </x:c>
      <x:c r="K6" s="16" t="str">
        <x:v>As generated</x:v>
      </x:c>
      <x:c r="L6" s="16" t="n">
        <x:v>15</x:v>
      </x:c>
      <x:c r="M6" s="16" t="str">
        <x:v>Fixed escalation / demo</x:v>
      </x:c>
      <x:c r="N6" s="16" t="str">
        <x:v>COD + wheeling</x:v>
      </x:c>
      <x:c r="O6" s="16" t="str">
        <x:v>Bundled / verify</x:v>
      </x:c>
      <x:c r="P6" s="12" t="str">
        <x:v>Unverified</x:v>
      </x:c>
      <x:c r="Q6" s="12" t="str">
        <x:v>Demo Source 02</x:v>
      </x:c>
      <x:c r="R6" s="12" t="str">
        <x:v>2026-09-27</x:v>
      </x:c>
      <x:c r="S6" s="12" t="str">
        <x:v>Low</x:v>
      </x:c>
      <x:c r="T6" s="12" t="str">
        <x:v>SYNTHETIC / DEMO DATA</x:v>
      </x:c>
      <x:c r="U6" s="12" t="str">
        <x:v>Verify maturity, COD evidence, contracting route</x:v>
      </x:c>
    </x:row>
    <x:row r="7" ht="15" hidden="0" customHeight="1">
      <x:c r="A7" s="11" t="str">
        <x:v>ENT-DEMO-03</x:v>
      </x:c>
      <x:c r="B7" s="11" t="str">
        <x:v>ROUTE-DEMO-03</x:v>
      </x:c>
      <x:c r="C7" s="11" t="str">
        <x:v>AST-DEMO-03</x:v>
      </x:c>
      <x:c r="D7" s="11" t="str">
        <x:v>Certificate / service</x:v>
      </x:c>
      <x:c r="E7" s="11" t="str">
        <x:v>Unbundled certificate demo</x:v>
      </x:c>
      <x:c r="F7" s="11" t="str">
        <x:v>Mixed / demo</x:v>
      </x:c>
      <x:c r="G7" s="11" t="str">
        <x:v>Taiwan / demo</x:v>
      </x:c>
      <x:c r="H7" s="11" t="str">
        <x:v>Inventory / unverified</x:v>
      </x:c>
      <x:c r="I7" s="11" t="str">
        <x:v>2027 range</x:v>
      </x:c>
      <x:c r="J7" s="15" t="n">
        <x:v>9000</x:v>
      </x:c>
      <x:c r="K7" s="16" t="str">
        <x:v>Annual</x:v>
      </x:c>
      <x:c r="L7" s="16" t="n">
        <x:v>1</x:v>
      </x:c>
      <x:c r="M7" s="16" t="str">
        <x:v>Per-certificate / demo</x:v>
      </x:c>
      <x:c r="N7" s="16" t="str">
        <x:v>Registry / transfer</x:v>
      </x:c>
      <x:c r="O7" s="16" t="str">
        <x:v>Certificate only</x:v>
      </x:c>
      <x:c r="P7" s="11" t="str">
        <x:v>Unverified</x:v>
      </x:c>
      <x:c r="Q7" s="11" t="str">
        <x:v>Demo Source 03</x:v>
      </x:c>
      <x:c r="R7" s="11" t="str">
        <x:v>2026-09-27</x:v>
      </x:c>
      <x:c r="S7" s="11" t="str">
        <x:v>Low</x:v>
      </x:c>
      <x:c r="T7" s="11" t="str">
        <x:v>SYNTHETIC / DEMO DATA</x:v>
      </x:c>
      <x:c r="U7" s="11" t="str">
        <x:v>Verify eligibility, vintage and claim treatment</x:v>
      </x:c>
    </x:row>
    <x:row r="8" ht="15" hidden="0" customHeight="1">
      <x:c r="A8" s="12" t="str">
        <x:v>ENT-DEMO-04</x:v>
      </x:c>
      <x:c r="B8" s="12" t="str">
        <x:v>ROUTE-DEMO-04</x:v>
      </x:c>
      <x:c r="C8" s="12" t="str">
        <x:v>AST-DEMO-04</x:v>
      </x:c>
      <x:c r="D8" s="12" t="str">
        <x:v>Retailer + portfolio</x:v>
      </x:c>
      <x:c r="E8" s="12" t="str">
        <x:v>Aggregated portfolio demo</x:v>
      </x:c>
      <x:c r="F8" s="12" t="str">
        <x:v>Solar + wind</x:v>
      </x:c>
      <x:c r="G8" s="12" t="str">
        <x:v>Multiple / demo</x:v>
      </x:c>
      <x:c r="H8" s="12" t="str">
        <x:v>Mixed / unverified</x:v>
      </x:c>
      <x:c r="I8" s="12" t="str">
        <x:v>2028 range</x:v>
      </x:c>
      <x:c r="J8" s="15" t="n">
        <x:v>25000</x:v>
      </x:c>
      <x:c r="K8" s="16" t="str">
        <x:v>Portfolio</x:v>
      </x:c>
      <x:c r="L8" s="16" t="n">
        <x:v>7</x:v>
      </x:c>
      <x:c r="M8" s="16" t="str">
        <x:v>Hybrid / demo</x:v>
      </x:c>
      <x:c r="N8" s="16" t="str">
        <x:v>Multiple assets + wheeling</x:v>
      </x:c>
      <x:c r="O8" s="16" t="str">
        <x:v>Bundled / verify</x:v>
      </x:c>
      <x:c r="P8" s="12" t="str">
        <x:v>Unverified</x:v>
      </x:c>
      <x:c r="Q8" s="12" t="str">
        <x:v>Demo Source 04</x:v>
      </x:c>
      <x:c r="R8" s="12" t="str">
        <x:v>2026-09-27</x:v>
      </x:c>
      <x:c r="S8" s="12" t="str">
        <x:v>Low</x:v>
      </x:c>
      <x:c r="T8" s="12" t="str">
        <x:v>SYNTHETIC / DEMO DATA</x:v>
      </x:c>
      <x:c r="U8" s="12" t="str">
        <x:v>Decompose assets and prevent duplicate volume</x:v>
      </x:c>
    </x:row>
  </x:sheetData>
  <x:pageMargins left="0.7" right="0.7" top="0.75" bottom="0.75" header="0.3" footer="0.3"/>
  <x:tableParts count="1">
    <x:tablePart xmlns:r="http://schemas.openxmlformats.org/officeDocument/2006/relationships" r:id="R9eb24e7842544a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22" hidden="0" customWidth="1"/>
  </x:cols>
  <x:sheetData>
    <x:row r="2" ht="15" hidden="0" customHeight="1">
      <x:c r="A2" s="26" t="str">
        <x:v>Screening and prioritisation — synthetic model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 ht="15" hidden="0" customHeight="1">
      <x:c r="A4" s="32" t="str">
        <x:v>Criterion</x:v>
      </x:c>
      <x:c r="B4" s="32" t="str">
        <x:v>Volume / timing</x:v>
      </x:c>
      <x:c r="C4" s="32" t="str">
        <x:v>Maturity</x:v>
      </x:c>
      <x:c r="D4" s="32" t="str">
        <x:v>Commercial fit</x:v>
      </x:c>
      <x:c r="E4" s="32" t="str">
        <x:v>Execution</x:v>
      </x:c>
      <x:c r="F4" s="32" t="str">
        <x:v>Certificate</x:v>
      </x:c>
      <x:c r="G4" s="32" t="str">
        <x:v>Credit</x:v>
      </x:c>
      <x:c r="H4" s="32" t="str">
        <x:v>Flexibility</x:v>
      </x:c>
      <x:c r="I4" s="32" t="str">
        <x:v>Evidence</x:v>
      </x:c>
      <x:c r="J4" s="27"/>
      <x:c r="K4" s="27"/>
      <x:c r="L4" s="27"/>
      <x:c r="M4" s="27"/>
      <x:c r="N4" s="27"/>
    </x:row>
    <x:row r="5" ht="15" hidden="0" customHeight="1">
      <x:c r="A5" s="33" t="str">
        <x:v>Weight</x:v>
      </x:c>
      <x:c r="B5" s="34" t="n">
        <x:v>0.2</x:v>
      </x:c>
      <x:c r="C5" s="34" t="n">
        <x:v>0.15</x:v>
      </x:c>
      <x:c r="D5" s="34" t="n">
        <x:v>0.15</x:v>
      </x:c>
      <x:c r="E5" s="34" t="n">
        <x:v>0.15</x:v>
      </x:c>
      <x:c r="F5" s="34" t="n">
        <x:v>0.1</x:v>
      </x:c>
      <x:c r="G5" s="34" t="n">
        <x:v>0.1</x:v>
      </x:c>
      <x:c r="H5" s="34" t="n">
        <x:v>0.05</x:v>
      </x:c>
      <x:c r="I5" s="34" t="n">
        <x:v>0.1</x:v>
      </x:c>
      <x:c r="J5" s="27"/>
      <x:c r="K5" s="27"/>
      <x:c r="L5" s="27"/>
      <x:c r="M5" s="27"/>
      <x:c r="N5" s="27"/>
    </x:row>
    <x:row r="6" ht="15" hidden="0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</x:row>
    <x:row r="8" ht="15" hidden="0" customHeight="1">
      <x:c r="A8" s="29" t="str">
        <x:v>Entity ID</x:v>
      </x:c>
      <x:c r="B8" s="29" t="str">
        <x:v>Route ID</x:v>
      </x:c>
      <x:c r="C8" s="29" t="str">
        <x:v>Hard screen</x:v>
      </x:c>
      <x:c r="D8" s="29" t="str">
        <x:v>Reason / condition</x:v>
      </x:c>
      <x:c r="E8" s="29" t="str">
        <x:v>Volume / timing</x:v>
      </x:c>
      <x:c r="F8" s="29" t="str">
        <x:v>Maturity</x:v>
      </x:c>
      <x:c r="G8" s="29" t="str">
        <x:v>Commercial fit</x:v>
      </x:c>
      <x:c r="H8" s="29" t="str">
        <x:v>Execution</x:v>
      </x:c>
      <x:c r="I8" s="29" t="str">
        <x:v>Certificate</x:v>
      </x:c>
      <x:c r="J8" s="29" t="str">
        <x:v>Credit</x:v>
      </x:c>
      <x:c r="K8" s="29" t="str">
        <x:v>Flexibility</x:v>
      </x:c>
      <x:c r="L8" s="29" t="str">
        <x:v>Evidence</x:v>
      </x:c>
      <x:c r="M8" s="29" t="str">
        <x:v>Weighted score</x:v>
      </x:c>
      <x:c r="N8" s="29" t="str">
        <x:v>Priority tier</x:v>
      </x:c>
    </x:row>
    <x:row r="9" ht="15" hidden="0" customHeight="1">
      <x:c r="A9" s="11" t="str">
        <x:v>ENT-DEMO-01</x:v>
      </x:c>
      <x:c r="B9" s="11" t="str">
        <x:v>ROUTE-DEMO-01</x:v>
      </x:c>
      <x:c r="C9" s="11" t="str">
        <x:v>CONDITIONAL</x:v>
      </x:c>
      <x:c r="D9" s="11" t="str">
        <x:v>Verify route and evidence</x:v>
      </x:c>
      <x:c r="E9" s="16" t="n">
        <x:v>4</x:v>
      </x:c>
      <x:c r="F9" s="16" t="n">
        <x:v>3</x:v>
      </x:c>
      <x:c r="G9" s="16" t="n">
        <x:v>3</x:v>
      </x:c>
      <x:c r="H9" s="16" t="n">
        <x:v>3</x:v>
      </x:c>
      <x:c r="I9" s="16" t="n">
        <x:v>3</x:v>
      </x:c>
      <x:c r="J9" s="16" t="n">
        <x:v>3</x:v>
      </x:c>
      <x:c r="K9" s="16" t="n">
        <x:v>4</x:v>
      </x:c>
      <x:c r="L9" s="16" t="n">
        <x:v>2</x:v>
      </x:c>
      <x:c r="M9" s="20" t="n">
        <x:f>SUMPRODUCT(E9:L9,$B$5:$I$5)</x:f>
        <x:v>3.1500000000000004</x:v>
      </x:c>
      <x:c r="N9" s="11" t="str">
        <x:f>IF(C9="FAIL","EXCLUDE / RESOLVE",IF(M9&gt;=3.5,"TIER 1",IF(M9&gt;=2.5,"TIER 2","RESEARCH MORE")))</x:f>
        <x:v>TIER 2</x:v>
      </x:c>
    </x:row>
    <x:row r="10" ht="15" hidden="0" customHeight="1">
      <x:c r="A10" s="12" t="str">
        <x:v>ENT-DEMO-02</x:v>
      </x:c>
      <x:c r="B10" s="12" t="str">
        <x:v>ROUTE-DEMO-02</x:v>
      </x:c>
      <x:c r="C10" s="12" t="str">
        <x:v>CONDITIONAL</x:v>
      </x:c>
      <x:c r="D10" s="12" t="str">
        <x:v>COD evidence missing</x:v>
      </x:c>
      <x:c r="E10" s="16" t="n">
        <x:v>3</x:v>
      </x:c>
      <x:c r="F10" s="16" t="n">
        <x:v>2</x:v>
      </x:c>
      <x:c r="G10" s="16" t="n">
        <x:v>4</x:v>
      </x:c>
      <x:c r="H10" s="16" t="n">
        <x:v>2</x:v>
      </x:c>
      <x:c r="I10" s="16" t="n">
        <x:v>3</x:v>
      </x:c>
      <x:c r="J10" s="16" t="n">
        <x:v>3</x:v>
      </x:c>
      <x:c r="K10" s="16" t="n">
        <x:v>2</x:v>
      </x:c>
      <x:c r="L10" s="16" t="n">
        <x:v>2</x:v>
      </x:c>
      <x:c r="M10" s="21" t="n">
        <x:f>SUMPRODUCT(E10:L10,$B$5:$I$5)</x:f>
        <x:v>2.7000000000000006</x:v>
      </x:c>
      <x:c r="N10" s="12" t="str">
        <x:f>IF(C10="FAIL","EXCLUDE / RESOLVE",IF(M10&gt;=3.5,"TIER 1",IF(M10&gt;=2.5,"TIER 2","RESEARCH MORE")))</x:f>
        <x:v>TIER 2</x:v>
      </x:c>
    </x:row>
    <x:row r="11" ht="15" hidden="0" customHeight="1">
      <x:c r="A11" s="11" t="str">
        <x:v>ENT-DEMO-03</x:v>
      </x:c>
      <x:c r="B11" s="11" t="str">
        <x:v>ROUTE-DEMO-03</x:v>
      </x:c>
      <x:c r="C11" s="11" t="str">
        <x:v>FAIL</x:v>
      </x:c>
      <x:c r="D11" s="11" t="str">
        <x:v>Not a substitute for an approved bundled route</x:v>
      </x:c>
      <x:c r="E11" s="16" t="n">
        <x:v>2</x:v>
      </x:c>
      <x:c r="F11" s="16" t="n">
        <x:v>4</x:v>
      </x:c>
      <x:c r="G11" s="16" t="n">
        <x:v>2</x:v>
      </x:c>
      <x:c r="H11" s="16" t="n">
        <x:v>4</x:v>
      </x:c>
      <x:c r="I11" s="16" t="n">
        <x:v>3</x:v>
      </x:c>
      <x:c r="J11" s="16" t="n">
        <x:v>3</x:v>
      </x:c>
      <x:c r="K11" s="16" t="n">
        <x:v>5</x:v>
      </x:c>
      <x:c r="L11" s="16" t="n">
        <x:v>2</x:v>
      </x:c>
      <x:c r="M11" s="20" t="n">
        <x:f>SUMPRODUCT(E11:L11,$B$5:$I$5)</x:f>
        <x:v>2.95</x:v>
      </x:c>
      <x:c r="N11" s="11" t="str">
        <x:f>IF(C11="FAIL","EXCLUDE / RESOLVE",IF(M11&gt;=3.5,"TIER 1",IF(M11&gt;=2.5,"TIER 2","RESEARCH MORE")))</x:f>
        <x:v>EXCLUDE / RESOLVE</x:v>
      </x:c>
    </x:row>
    <x:row r="12" ht="15" hidden="0" customHeight="1">
      <x:c r="A12" s="12" t="str">
        <x:v>ENT-DEMO-04</x:v>
      </x:c>
      <x:c r="B12" s="12" t="str">
        <x:v>ROUTE-DEMO-04</x:v>
      </x:c>
      <x:c r="C12" s="12" t="str">
        <x:v>CONDITIONAL</x:v>
      </x:c>
      <x:c r="D12" s="12" t="str">
        <x:v>Underlying assets not decomposed</x:v>
      </x:c>
      <x:c r="E12" s="16" t="n">
        <x:v>4</x:v>
      </x:c>
      <x:c r="F12" s="16" t="n">
        <x:v>3</x:v>
      </x:c>
      <x:c r="G12" s="16" t="n">
        <x:v>4</x:v>
      </x:c>
      <x:c r="H12" s="16" t="n">
        <x:v>3</x:v>
      </x:c>
      <x:c r="I12" s="16" t="n">
        <x:v>3</x:v>
      </x:c>
      <x:c r="J12" s="16" t="n">
        <x:v>3</x:v>
      </x:c>
      <x:c r="K12" s="16" t="n">
        <x:v>4</x:v>
      </x:c>
      <x:c r="L12" s="16" t="n">
        <x:v>1</x:v>
      </x:c>
      <x:c r="M12" s="21" t="n">
        <x:f>SUMPRODUCT(E12:L12,$B$5:$I$5)</x:f>
        <x:v>3.1999999999999997</x:v>
      </x:c>
      <x:c r="N12" s="12" t="str">
        <x:f>IF(C12="FAIL","EXCLUDE / RESOLVE",IF(M12&gt;=3.5,"TIER 1",IF(M12&gt;=2.5,"TIER 2","RESEARCH MORE")))</x:f>
        <x:v>TIER 2</x:v>
      </x:c>
    </x:row>
  </x:sheetData>
  <x:conditionalFormatting sqref="C9:C12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99ccb0df5a247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18" hidden="0" customWidth="1"/>
    <x:col min="7" max="7" width="16" hidden="0" customWidth="1"/>
    <x:col min="8" max="8" width="20" hidden="0" customWidth="1"/>
    <x:col min="9" max="9" width="44" hidden="0" customWidth="1"/>
    <x:col min="10" max="10" width="26" hidden="0" customWidth="1"/>
    <x:col min="11" max="11" width="36" hidden="0" customWidth="1"/>
  </x:cols>
  <x:sheetData>
    <x:row r="2" ht="15" hidden="0" customHeight="1">
      <x:c r="A2" s="26" t="str">
        <x:v>Source log — demonstration records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7"/>
    </x:row>
    <x:row r="4" ht="15" hidden="0" customHeight="1">
      <x:c r="A4" s="29" t="str">
        <x:v>Source ID</x:v>
      </x:c>
      <x:c r="B4" s="29" t="str">
        <x:v>Entity / asset ID</x:v>
      </x:c>
      <x:c r="C4" s="29" t="str">
        <x:v>Publisher</x:v>
      </x:c>
      <x:c r="D4" s="29" t="str">
        <x:v>Title / file</x:v>
      </x:c>
      <x:c r="E4" s="29" t="str">
        <x:v>URL / location</x:v>
      </x:c>
      <x:c r="F4" s="29" t="str">
        <x:v>Published / as-of</x:v>
      </x:c>
      <x:c r="G4" s="29" t="str">
        <x:v>Accessed</x:v>
      </x:c>
      <x:c r="H4" s="29" t="str">
        <x:v>Evidence grade</x:v>
      </x:c>
      <x:c r="I4" s="29" t="str">
        <x:v>Claim supported</x:v>
      </x:c>
      <x:c r="J4" s="29" t="str">
        <x:v>Truth status</x:v>
      </x:c>
      <x:c r="K4" s="29" t="str">
        <x:v>Reviewer note</x:v>
      </x:c>
    </x:row>
    <x:row r="5" ht="24" hidden="0" customHeight="1">
      <x:c r="A5" s="11" t="str">
        <x:v>Demo Source 01</x:v>
      </x:c>
      <x:c r="B5" s="11" t="str">
        <x:v>ENT-DEMO-01 / AST-DEMO-01</x:v>
      </x:c>
      <x:c r="C5" s="11" t="str">
        <x:v>Fictional</x:v>
      </x:c>
      <x:c r="D5" s="11" t="str">
        <x:v>Demo route note</x:v>
      </x:c>
      <x:c r="E5" s="11" t="str">
        <x:v>Internal demo only</x:v>
      </x:c>
      <x:c r="F5" s="11" t="str">
        <x:v>2026-09-27</x:v>
      </x:c>
      <x:c r="G5" s="11" t="str">
        <x:v>2026-09-27</x:v>
      </x:c>
      <x:c r="H5" s="11" t="str">
        <x:v>Demo — not evidence</x:v>
      </x:c>
      <x:c r="I5" s="11" t="str">
        <x:v>Tests landscape schema</x:v>
      </x:c>
      <x:c r="J5" s="11" t="str">
        <x:v>SYNTHETIC / DEMO DATA</x:v>
      </x:c>
      <x:c r="K5" s="11" t="str">
        <x:v>Replace with primary source</x:v>
      </x:c>
    </x:row>
    <x:row r="6" ht="15" hidden="0" customHeight="1">
      <x:c r="A6" s="12" t="str">
        <x:v>SRC-REQ-001</x:v>
      </x:c>
      <x:c r="B6" s="12" t="str">
        <x:v>Universe</x:v>
      </x:c>
      <x:c r="C6" s="12" t="str">
        <x:v>Official sources TBD</x:v>
      </x:c>
      <x:c r="D6" s="12" t="str">
        <x:v>Retailer / registration evidence</x:v>
      </x:c>
      <x:c r="E6" s="12" t="str">
        <x:v>RESEARCH REQUIRED</x:v>
      </x:c>
      <x:c r="F6" s="12" t="str">
        <x:v>TBD</x:v>
      </x:c>
      <x:c r="G6" s="12"/>
      <x:c r="H6" s="12" t="str">
        <x:v>Primary official</x:v>
      </x:c>
      <x:c r="I6" s="12" t="str">
        <x:v>Entity qualification / current status</x:v>
      </x:c>
      <x:c r="J6" s="12" t="str">
        <x:v>RESEARCH REQUIRED</x:v>
      </x:c>
      <x:c r="K6" s="12" t="str">
        <x:v>Do before named outreach</x:v>
      </x:c>
    </x:row>
    <x:row r="7" ht="15" hidden="0" customHeight="1">
      <x:c r="A7" s="11" t="str">
        <x:v>SRC-REQ-002</x:v>
      </x:c>
      <x:c r="B7" s="11" t="str">
        <x:v>Assets</x:v>
      </x:c>
      <x:c r="C7" s="11" t="str">
        <x:v>Counterparty documents TBD</x:v>
      </x:c>
      <x:c r="D7" s="11" t="str">
        <x:v>Project maturity evidence</x:v>
      </x:c>
      <x:c r="E7" s="11" t="str">
        <x:v>TBD WITH CLIENT / SUPPLIER</x:v>
      </x:c>
      <x:c r="F7" s="11" t="str">
        <x:v>TBD</x:v>
      </x:c>
      <x:c r="G7" s="11"/>
      <x:c r="H7" s="11" t="str">
        <x:v>Primary counterparty</x:v>
      </x:c>
      <x:c r="I7" s="11" t="str">
        <x:v>Asset control / COD / volume</x:v>
      </x:c>
      <x:c r="J7" s="11" t="str">
        <x:v>RESEARCH REQUIRED</x:v>
      </x:c>
      <x:c r="K7" s="11" t="str">
        <x:v>Obtain under authorized protocol</x:v>
      </x:c>
    </x:row>
  </x:sheetData>
  <x:pageMargins left="0.7" right="0.7" top="0.75" bottom="0.75" header="0.3" footer="0.3"/>
  <x:tableParts count="1">
    <x:tablePart xmlns:r="http://schemas.openxmlformats.org/officeDocument/2006/relationships" r:id="Rd2449dc739ec4c8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8" hidden="0" customWidth="1"/>
    <x:col min="2" max="2" width="80" hidden="0" customWidth="1"/>
    <x:col min="3" max="3" width="44" hidden="0" customWidth="1"/>
    <x:col min="4" max="4" width="28" hidden="0" customWidth="1"/>
    <x:col min="5" max="5" width="22" hidden="0" customWidth="1"/>
    <x:col min="6" max="6" width="48" hidden="0" customWidth="1"/>
  </x:cols>
  <x:sheetData>
    <x:row r="2" ht="15" hidden="0" customHeight="1">
      <x:c r="A2" s="26" t="str">
        <x:v>G5 market scan summary — demo only</x:v>
      </x:c>
      <x:c r="B2" s="27"/>
      <x:c r="C2" s="27"/>
      <x:c r="D2" s="27"/>
      <x:c r="E2" s="27"/>
      <x:c r="F2" s="27"/>
      <x:c r="G2" s="27"/>
      <x:c r="H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</x:row>
    <x:row r="4" ht="15" hidden="0" customHeight="1">
      <x:c r="A4" s="29" t="str">
        <x:v>Category</x:v>
      </x:c>
      <x:c r="B4" s="29" t="str">
        <x:v>Rows</x:v>
      </x:c>
      <x:c r="C4" s="29" t="str">
        <x:v>Conditional</x:v>
      </x:c>
      <x:c r="D4" s="29" t="str">
        <x:v>Fail</x:v>
      </x:c>
      <x:c r="E4" s="29" t="str">
        <x:v>Decision use</x:v>
      </x:c>
      <x:c r="F4" s="29" t="str">
        <x:v>Gap / next action</x:v>
      </x:c>
      <x:c r="G4" s="27"/>
      <x:c r="H4" s="27"/>
    </x:row>
    <x:row r="5" ht="24" hidden="0" customHeight="1">
      <x:c r="A5" s="11" t="str">
        <x:v>Retailer interface</x:v>
      </x:c>
      <x:c r="B5" s="11" t="n">
        <x:f>COUNTIF(Landscape!$D$5:$D$8,A5)</x:f>
        <x:v>1</x:v>
      </x:c>
      <x:c r="C5" s="11" t="n">
        <x:f>COUNTIFS(Landscape!$D$5:$D$8,A5,Screening!$C$9:$C$12,"CONDITIONAL")</x:f>
        <x:v>1</x:v>
      </x:c>
      <x:c r="D5" s="11" t="n">
        <x:f>COUNTIFS(Landscape!$D$5:$D$8,A5,Screening!$C$9:$C$12,"FAIL")</x:f>
        <x:v>0</x:v>
      </x:c>
      <x:c r="E5" s="11" t="str">
        <x:v>Select small-universe validation</x:v>
      </x:c>
      <x:c r="F5" s="11" t="str">
        <x:v>Verify entity / route evidence</x:v>
      </x:c>
      <x:c r="G5" s="27"/>
      <x:c r="H5" s="27"/>
    </x:row>
    <x:row r="6" ht="24" hidden="0" customHeight="1">
      <x:c r="A6" s="12" t="str">
        <x:v>Developer / generator</x:v>
      </x:c>
      <x:c r="B6" s="12" t="n">
        <x:f>COUNTIF(Landscape!$D$5:$D$8,A6)</x:f>
        <x:v>1</x:v>
      </x:c>
      <x:c r="C6" s="12" t="n">
        <x:f>COUNTIFS(Landscape!$D$5:$D$8,A6,Screening!$C$9:$C$12,"CONDITIONAL")</x:f>
        <x:v>1</x:v>
      </x:c>
      <x:c r="D6" s="12" t="n">
        <x:f>COUNTIFS(Landscape!$D$5:$D$8,A6,Screening!$C$9:$C$12,"FAIL")</x:f>
        <x:v>0</x:v>
      </x:c>
      <x:c r="E6" s="12" t="str">
        <x:v>Test long-term pipeline hypothesis</x:v>
      </x:c>
      <x:c r="F6" s="12" t="str">
        <x:v>Verify asset control and COD</x:v>
      </x:c>
      <x:c r="G6" s="27"/>
      <x:c r="H6" s="27"/>
    </x:row>
    <x:row r="7" ht="15" hidden="0" customHeight="1">
      <x:c r="A7" s="11" t="str">
        <x:v>Certificate / service</x:v>
      </x:c>
      <x:c r="B7" s="11" t="n">
        <x:f>COUNTIF(Landscape!$D$5:$D$8,A7)</x:f>
        <x:v>1</x:v>
      </x:c>
      <x:c r="C7" s="11" t="n">
        <x:f>COUNTIFS(Landscape!$D$5:$D$8,A7,Screening!$C$9:$C$12,"CONDITIONAL")</x:f>
        <x:v>0</x:v>
      </x:c>
      <x:c r="D7" s="11" t="n">
        <x:f>COUNTIFS(Landscape!$D$5:$D$8,A7,Screening!$C$9:$C$12,"FAIL")</x:f>
        <x:v>1</x:v>
      </x:c>
      <x:c r="E7" s="11" t="str">
        <x:v>Clarify supplemental role</x:v>
      </x:c>
      <x:c r="F7" s="11" t="str">
        <x:v>Verify eligibility / treatment</x:v>
      </x:c>
      <x:c r="G7" s="27"/>
      <x:c r="H7" s="27"/>
    </x:row>
    <x:row r="8" ht="15" hidden="0" customHeight="1">
      <x:c r="A8" s="12" t="str">
        <x:v>Retailer + portfolio</x:v>
      </x:c>
      <x:c r="B8" s="12" t="n">
        <x:f>COUNTIF(Landscape!$D$5:$D$8,A8)</x:f>
        <x:v>1</x:v>
      </x:c>
      <x:c r="C8" s="12" t="n">
        <x:f>COUNTIFS(Landscape!$D$5:$D$8,A8,Screening!$C$9:$C$12,"CONDITIONAL")</x:f>
        <x:v>1</x:v>
      </x:c>
      <x:c r="D8" s="12" t="n">
        <x:f>COUNTIFS(Landscape!$D$5:$D$8,A8,Screening!$C$9:$C$12,"FAIL")</x:f>
        <x:v>0</x:v>
      </x:c>
      <x:c r="E8" s="12" t="str">
        <x:v>Test diversification structure</x:v>
      </x:c>
      <x:c r="F8" s="12" t="str">
        <x:v>Decompose asset-level supply</x:v>
      </x:c>
      <x:c r="G8" s="27"/>
      <x:c r="H8" s="27"/>
    </x:row>
    <x:row r="9" ht="15" hidden="0" customHeight="1">
      <x:c r="A9" s="27"/>
      <x:c r="B9" s="27"/>
      <x:c r="C9" s="27"/>
      <x:c r="D9" s="27"/>
      <x:c r="E9" s="27"/>
      <x:c r="F9" s="27"/>
      <x:c r="G9" s="27"/>
      <x:c r="H9" s="27"/>
    </x:row>
    <x:row r="10" ht="15" hidden="0" customHeight="1">
      <x:c r="A10" s="27"/>
      <x:c r="B10" s="27"/>
      <x:c r="C10" s="27"/>
      <x:c r="D10" s="27"/>
      <x:c r="E10" s="27"/>
      <x:c r="F10" s="27"/>
      <x:c r="G10" s="27"/>
      <x:c r="H10" s="27"/>
    </x:row>
    <x:row r="11" ht="15" hidden="0" customHeight="1">
      <x:c r="A11" s="29" t="str">
        <x:v>Decision</x:v>
      </x:c>
      <x:c r="B11" s="29" t="str">
        <x:v>Preliminary position</x:v>
      </x:c>
      <x:c r="C11" s="29" t="str">
        <x:v>Evidence boundary</x:v>
      </x:c>
      <x:c r="D11" s="29" t="str">
        <x:v>Owner</x:v>
      </x:c>
      <x:c r="E11" s="29" t="str">
        <x:v>Status</x:v>
      </x:c>
      <x:c r="F11" s="27"/>
      <x:c r="G11" s="27"/>
      <x:c r="H11" s="27"/>
    </x:row>
    <x:row r="12" ht="15" hidden="0" customHeight="1">
      <x:c r="A12" s="11" t="str">
        <x:v>Universe coverage</x:v>
      </x:c>
      <x:c r="B12" s="11" t="str">
        <x:v>Category logic works; real entity / asset coverage not established</x:v>
      </x:c>
      <x:c r="C12" s="11" t="str">
        <x:v>All rows demo</x:v>
      </x:c>
      <x:c r="D12" s="11" t="str">
        <x:v>Market Lead</x:v>
      </x:c>
      <x:c r="E12" s="11" t="str">
        <x:v>Research required</x:v>
      </x:c>
      <x:c r="F12" s="27"/>
      <x:c r="G12" s="27"/>
      <x:c r="H12" s="27"/>
    </x:row>
    <x:row r="13" ht="15" hidden="0" customHeight="1">
      <x:c r="A13" s="12" t="str">
        <x:v>Priority list</x:v>
      </x:c>
      <x:c r="B13" s="12" t="str">
        <x:v>Do not approve external contact from demo score</x:v>
      </x:c>
      <x:c r="C13" s="12" t="str">
        <x:v>Need primary sources + client criteria</x:v>
      </x:c>
      <x:c r="D13" s="12" t="str">
        <x:v>Project Lead</x:v>
      </x:c>
      <x:c r="E13" s="12" t="str">
        <x:v>TBD WITH CLIENT</x:v>
      </x:c>
      <x:c r="F13" s="27"/>
      <x:c r="G13" s="27"/>
      <x:c r="H13" s="27"/>
    </x:row>
    <x:row r="14" ht="15" hidden="0" customHeight="1">
      <x:c r="A14" s="11" t="str">
        <x:v>Disclosure</x:v>
      </x:c>
      <x:c r="B14" s="11" t="str">
        <x:v>Desktop public research only until written G5 authority</x:v>
      </x:c>
      <x:c r="C14" s="11" t="str">
        <x:v>No identity / site / volume / timing</x:v>
      </x:c>
      <x:c r="D14" s="11" t="str">
        <x:v>Project Lead</x:v>
      </x:c>
      <x:c r="E14" s="11" t="str">
        <x:v>TBD WITH CLIENT</x:v>
      </x:c>
      <x:c r="F14" s="27"/>
      <x:c r="G14" s="27"/>
      <x:c r="H14" s="27"/>
    </x:row>
    <x:row r="15" ht="15" hidden="0" customHeight="1">
      <x:c r="A15" s="12" t="str">
        <x:v>2.2 MVP</x:v>
      </x:c>
      <x:c r="B15" s="12" t="str">
        <x:v>After approval, contact a small diverse set with common questions</x:v>
      </x:c>
      <x:c r="C15" s="12" t="str">
        <x:v>No false commitment</x:v>
      </x:c>
      <x:c r="D15" s="12" t="str">
        <x:v>Procurement + Optimum</x:v>
      </x:c>
      <x:c r="E15" s="12" t="str">
        <x:v>TBD WITH CLIENT</x:v>
      </x:c>
      <x:c r="F15" s="27"/>
      <x:c r="G15" s="27"/>
      <x:c r="H15" s="27"/>
    </x:row>
    <x:row r="16" ht="15" hidden="0" customHeight="1">
      <x:c r="A16" s="27"/>
      <x:c r="B16" s="27"/>
      <x:c r="C16" s="27"/>
      <x:c r="D16" s="27"/>
      <x:c r="E16" s="27"/>
      <x:c r="F16" s="27"/>
      <x:c r="G16" s="27"/>
      <x:c r="H16" s="27"/>
    </x:row>
    <x:row r="17" ht="15" hidden="0" customHeight="1">
      <x:c r="A17" s="27"/>
      <x:c r="B17" s="27"/>
      <x:c r="C17" s="27"/>
      <x:c r="D17" s="27"/>
      <x:c r="E17" s="27"/>
      <x:c r="F17" s="27"/>
      <x:c r="G17" s="27"/>
      <x:c r="H17" s="27"/>
    </x:row>
    <x:row r="18" ht="15" hidden="0" customHeight="1">
      <x:c r="A18" s="35" t="str">
        <x:v>Preliminary judgement</x:v>
      </x:c>
      <x:c r="B18" s="35" t="str"/>
      <x:c r="C18" s="27"/>
      <x:c r="D18" s="27"/>
      <x:c r="E18" s="27"/>
      <x:c r="F18" s="27"/>
      <x:c r="G18" s="27"/>
      <x:c r="H18" s="27"/>
    </x:row>
    <x:row r="19" ht="15" hidden="0" customHeight="1">
      <x:c r="A19" s="11" t="str">
        <x:v>What we know</x:v>
      </x:c>
      <x:c r="B19" s="11" t="str">
        <x:v>A route depends on contracting, asset, network / meter and certificate interfaces.</x:v>
      </x:c>
      <x:c r="C19" s="27"/>
      <x:c r="D19" s="27"/>
      <x:c r="E19" s="27"/>
      <x:c r="F19" s="27"/>
      <x:c r="G19" s="27"/>
      <x:c r="H19" s="27"/>
    </x:row>
    <x:row r="20" ht="15" hidden="0" customHeight="1">
      <x:c r="A20" s="11" t="str">
        <x:v>What we do not know</x:v>
      </x:c>
      <x:c r="B20" s="11" t="str">
        <x:v>AMAT constraints, real availability, current counterparties, price or capacity.</x:v>
      </x:c>
      <x:c r="C20" s="27"/>
      <x:c r="D20" s="27"/>
      <x:c r="E20" s="27"/>
      <x:c r="F20" s="27"/>
      <x:c r="G20" s="27"/>
      <x:c r="H20" s="27"/>
    </x:row>
    <x:row r="21" ht="15" hidden="0" customHeight="1">
      <x:c r="A21" s="11" t="str">
        <x:v>Recommendation</x:v>
      </x:c>
      <x:c r="B21" s="11" t="str">
        <x:v>Approve research questions and disclosure boundary before any named outreach.</x:v>
      </x:c>
      <x:c r="C21" s="27"/>
      <x:c r="D21" s="27"/>
      <x:c r="E21" s="27"/>
      <x:c r="F21" s="27"/>
      <x:c r="G21" s="27"/>
      <x:c r="H21" s="27"/>
    </x:row>
  </x:sheetData>
  <x:pageMargins left="0.7" right="0.7" top="0.75" bottom="0.75" header="0.3" footer="0.3"/>
  <x:tableParts count="2">
    <x:tablePart xmlns:r="http://schemas.openxmlformats.org/officeDocument/2006/relationships" r:id="R46362c85a2b74477"/>
    <x:tablePart xmlns:r="http://schemas.openxmlformats.org/officeDocument/2006/relationships" r:id="R8a5e6dfec3764df4"/>
  </x:tableParts>
</x:worksheet>
</file>