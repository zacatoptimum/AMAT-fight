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7259b8a6a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 &amp; Latest" sheetId="1" r:id="R0c60b8d74d894aa8"/>
    <x:sheet xmlns:r="http://schemas.openxmlformats.org/officeDocument/2006/relationships" name="Open Issues" sheetId="2" r:id="R7edaa5d939e94990"/>
    <x:sheet xmlns:r="http://schemas.openxmlformats.org/officeDocument/2006/relationships" name="Scenario Impact" sheetId="3" r:id="Rba973496d2d042c9"/>
    <x:sheet xmlns:r="http://schemas.openxmlformats.org/officeDocument/2006/relationships" name="Risk Acceptance" sheetId="4" r:id="R0567f61d38b44028"/>
    <x:sheet xmlns:r="http://schemas.openxmlformats.org/officeDocument/2006/relationships" name="Decision Summary" sheetId="5" r:id="R4852d7fb609941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0"/>
  </x:numFmts>
  <x:fonts count="5">
    <x:font>
      <x:sz val="11"/>
      <x:name val="Carlito"/>
    </x:font>
    <x:font>
      <x:b/>
      <x:sz val="14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 wrapText="1"/>
    </x:xf>
    <x:xf numFmtId="200" fontId="3" fillId="0" borderId="3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78ec1b10147c2" /><Relationship Type="http://schemas.openxmlformats.org/officeDocument/2006/relationships/theme" Target="/xl/theme/theme1.xml" Id="Ra7536713af7d488e" /><Relationship Type="http://schemas.openxmlformats.org/officeDocument/2006/relationships/sharedStrings" Target="/xl/sharedStrings.xml" Id="R0404262ba8204d1a" /><Relationship Type="http://schemas.openxmlformats.org/officeDocument/2006/relationships/worksheet" Target="/xl/worksheets/sheet1.xml" Id="R0c60b8d74d894aa8" /><Relationship Type="http://schemas.openxmlformats.org/officeDocument/2006/relationships/worksheet" Target="/xl/worksheets/sheet2.xml" Id="R7edaa5d939e94990" /><Relationship Type="http://schemas.openxmlformats.org/officeDocument/2006/relationships/worksheet" Target="/xl/worksheets/sheet3.xml" Id="Rba973496d2d042c9" /><Relationship Type="http://schemas.openxmlformats.org/officeDocument/2006/relationships/worksheet" Target="/xl/worksheets/sheet4.xml" Id="R0567f61d38b44028" /><Relationship Type="http://schemas.openxmlformats.org/officeDocument/2006/relationships/worksheet" Target="/xl/worksheets/sheet5.xml" Id="R4852d7fb6099412c" /></Relationships>
</file>

<file path=xl/tables/table1.xml><?xml version="1.0" encoding="utf-8"?>
<x:table xmlns:x="http://schemas.openxmlformats.org/spreadsheetml/2006/main" id="1" name="A34Baseline" displayName="A34Baseline" ref="A4:L8" headerRowCount="1" totalsRowCount="0" totalsRowShown="0">
  <x:tableColumns count="12">
    <x:tableColumn id="1" name="Term ID"/>
    <x:tableColumn id="2" name="Topic"/>
    <x:tableColumn id="3" name="Approved baseline"/>
    <x:tableColumn id="4" name="Latest supplier position"/>
    <x:tableColumn id="5" name="Delta"/>
    <x:tableColumn id="6" name="Commercial effect"/>
    <x:tableColumn id="7" name="Risk effect"/>
    <x:tableColumn id="8" name="Evidence"/>
    <x:tableColumn id="9" name="Owner"/>
    <x:tableColumn id="10" name="Authority needed"/>
    <x:tableColumn id="11" name="Recommendation"/>
    <x:tableColumn id="12" name="Truth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34OpenIssues" displayName="A34OpenIssues" ref="A4:J8" headerRowCount="1" totalsRowCount="0" totalsRowShown="0">
  <x:tableColumns count="10">
    <x:tableColumn id="1" name="Issue ID"/>
    <x:tableColumn id="2" name="Linked term"/>
    <x:tableColumn id="3" name="Latest gap"/>
    <x:tableColumn id="4" name="Priority"/>
    <x:tableColumn id="5" name="Can negotiate?"/>
    <x:tableColumn id="6" name="Needs internal decision?"/>
    <x:tableColumn id="7" name="Next move"/>
    <x:tableColumn id="8" name="Owner"/>
    <x:tableColumn id="9" name="Due / gate"/>
    <x:tableColumn id="10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34Scenarios" displayName="A34Scenarios" ref="A4:M8" headerRowCount="1" totalsRowCount="0" totalsRowShown="0">
  <x:tableColumns count="13">
    <x:tableColumn id="1" name="Scenario"/>
    <x:tableColumn id="2" name="Annual MWh"/>
    <x:tableColumn id="3" name="Base NTD/MWh"/>
    <x:tableColumn id="4" name="Pass-through NTD/MWh"/>
    <x:tableColumn id="5" name="Cap effect NTD/MWh"/>
    <x:tableColumn id="6" name="Bridge MWh"/>
    <x:tableColumn id="7" name="Bridge NTD/MWh"/>
    <x:tableColumn id="8" name="Annual supply NTD"/>
    <x:tableColumn id="9" name="Bridge NTD"/>
    <x:tableColumn id="10" name="Total NTD"/>
    <x:tableColumn id="11" name="Effective NTD/MWh"/>
    <x:tableColumn id="12" name="Decision signal"/>
    <x:tableColumn id="13" name="Truth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34Risk" displayName="A34Risk" ref="A4:K8" headerRowCount="1" totalsRowCount="0" totalsRowShown="0">
  <x:tableColumns count="11">
    <x:tableColumn id="1" name="Risk ID"/>
    <x:tableColumn id="2" name="Issue ID"/>
    <x:tableColumn id="3" name="Residual risk"/>
    <x:tableColumn id="4" name="Likelihood 1–5"/>
    <x:tableColumn id="5" name="Impact 1–5"/>
    <x:tableColumn id="6" name="Score"/>
    <x:tableColumn id="7" name="Mitigation / condition"/>
    <x:tableColumn id="8" name="Risk acceptor"/>
    <x:tableColumn id="9" name="Authority evidence"/>
    <x:tableColumn id="10" name="Decision"/>
    <x:tableColumn id="11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34Decision" displayName="A34Decision" ref="A4:I8" headerRowCount="1" totalsRowCount="0" totalsRowShown="0">
  <x:tableColumns count="9">
    <x:tableColumn id="1" name="Decision question"/>
    <x:tableColumn id="2" name="Model signal / status"/>
    <x:tableColumn id="3" name="Evidence"/>
    <x:tableColumn id="4" name="Recommended action"/>
    <x:tableColumn id="5" name="Conditions"/>
    <x:tableColumn id="6" name="Owner"/>
    <x:tableColumn id="7" name="Decision"/>
    <x:tableColumn id="8" name="Date"/>
    <x:tableColumn id="9" name="Truth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2fdaa2d0c8499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58920da5f44b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fefd97cb1e0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4706deb46df45b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38d5764e6840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42" hidden="0" customWidth="1"/>
    <x:col min="4" max="4" width="44" hidden="0" customWidth="1"/>
    <x:col min="5" max="5" width="34" hidden="0" customWidth="1"/>
    <x:col min="6" max="6" width="36" hidden="0" customWidth="1"/>
    <x:col min="7" max="7" width="34" hidden="0" customWidth="1"/>
    <x:col min="8" max="8" width="28" hidden="0" customWidth="1"/>
    <x:col min="9" max="9" width="26" hidden="0" customWidth="1"/>
    <x:col min="10" max="10" width="30" hidden="0" customWidth="1"/>
    <x:col min="11" max="11" width="38" hidden="0" customWidth="1"/>
    <x:col min="12" max="12" width="26" hidden="0" customWidth="1"/>
  </x:cols>
  <x:sheetData>
    <x:row r="2" ht="15" hidden="0" customHeight="1">
      <x:c r="A2" s="19" t="str">
        <x:v>Negotiation baseline versus latest — synthetic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15" hidden="0" customHeight="1">
      <x:c r="A4" s="22" t="str">
        <x:v>Term ID</x:v>
      </x:c>
      <x:c r="B4" s="22" t="str">
        <x:v>Topic</x:v>
      </x:c>
      <x:c r="C4" s="22" t="str">
        <x:v>Approved baseline</x:v>
      </x:c>
      <x:c r="D4" s="22" t="str">
        <x:v>Latest supplier position</x:v>
      </x:c>
      <x:c r="E4" s="22" t="str">
        <x:v>Delta</x:v>
      </x:c>
      <x:c r="F4" s="22" t="str">
        <x:v>Commercial effect</x:v>
      </x:c>
      <x:c r="G4" s="22" t="str">
        <x:v>Risk effect</x:v>
      </x:c>
      <x:c r="H4" s="22" t="str">
        <x:v>Evidence</x:v>
      </x:c>
      <x:c r="I4" s="22" t="str">
        <x:v>Owner</x:v>
      </x:c>
      <x:c r="J4" s="22" t="str">
        <x:v>Authority needed</x:v>
      </x:c>
      <x:c r="K4" s="22" t="str">
        <x:v>Recommendation</x:v>
      </x:c>
      <x:c r="L4" s="22" t="str">
        <x:v>Truth status</x:v>
      </x:c>
    </x:row>
    <x:row r="5" ht="15" hidden="0" customHeight="1">
      <x:c r="A5" s="11" t="str">
        <x:v>T31-01</x:v>
      </x:c>
      <x:c r="B5" s="11" t="str">
        <x:v>Volume / allocation</x:v>
      </x:c>
      <x:c r="C5" s="11" t="str">
        <x:v>Traceable committed supply</x:v>
      </x:c>
      <x:c r="D5" s="11" t="str">
        <x:v>Demo: schedule promised, not provided</x:v>
      </x:c>
      <x:c r="E5" s="11" t="str">
        <x:v>Evidence remains open</x:v>
      </x:c>
      <x:c r="F5" s="11" t="str">
        <x:v>No reliable coverage conclusion</x:v>
      </x:c>
      <x:c r="G5" s="11" t="str">
        <x:v>Claim / concentration risk</x:v>
      </x:c>
      <x:c r="H5" s="11" t="str">
        <x:v>Demo meeting record</x:v>
      </x:c>
      <x:c r="I5" s="11" t="str">
        <x:v>DD Lead</x:v>
      </x:c>
      <x:c r="J5" s="11" t="str">
        <x:v>Risk condition</x:v>
      </x:c>
      <x:c r="K5" s="11" t="str">
        <x:v>Continue only with condition</x:v>
      </x:c>
      <x:c r="L5" s="11" t="str">
        <x:v>SYNTHETIC / DEMO DATA</x:v>
      </x:c>
    </x:row>
    <x:row r="6" ht="15" hidden="0" customHeight="1">
      <x:c r="A6" s="12" t="str">
        <x:v>T31-02</x:v>
      </x:c>
      <x:c r="B6" s="12" t="str">
        <x:v>Delivery / COD</x:v>
      </x:c>
      <x:c r="C6" s="12" t="str">
        <x:v>Longstop + remedy</x:v>
      </x:c>
      <x:c r="D6" s="12" t="str">
        <x:v>Demo: longstop accepted in principle; remedy open</x:v>
      </x:c>
      <x:c r="E6" s="12" t="str">
        <x:v>Partial movement</x:v>
      </x:c>
      <x:c r="F6" s="12" t="str">
        <x:v>Bridge exposure unresolved</x:v>
      </x:c>
      <x:c r="G6" s="12" t="str">
        <x:v>Timing risk</x:v>
      </x:c>
      <x:c r="H6" s="12" t="str">
        <x:v>Demo position</x:v>
      </x:c>
      <x:c r="I6" s="12" t="str">
        <x:v>Commercial Lead</x:v>
      </x:c>
      <x:c r="J6" s="12" t="str">
        <x:v>Risk / cost authority</x:v>
      </x:c>
      <x:c r="K6" s="12" t="str">
        <x:v>Counter with quantified remedy</x:v>
      </x:c>
      <x:c r="L6" s="12" t="str">
        <x:v>SYNTHETIC / DEMO DATA</x:v>
      </x:c>
    </x:row>
    <x:row r="7" ht="15" hidden="0" customHeight="1">
      <x:c r="A7" s="11" t="str">
        <x:v>T31-03</x:v>
      </x:c>
      <x:c r="B7" s="11" t="str">
        <x:v>Certificates</x:v>
      </x:c>
      <x:c r="C7" s="11" t="str">
        <x:v>Validity + transfer + replacement</x:v>
      </x:c>
      <x:c r="D7" s="11" t="str">
        <x:v>Demo: transfer accepted; replacement open</x:v>
      </x:c>
      <x:c r="E7" s="11" t="str">
        <x:v>Partial movement</x:v>
      </x:c>
      <x:c r="F7" s="11" t="str">
        <x:v>Potential replacement cost</x:v>
      </x:c>
      <x:c r="G7" s="11" t="str">
        <x:v>RE100 claim risk</x:v>
      </x:c>
      <x:c r="H7" s="11" t="str">
        <x:v>Demo position</x:v>
      </x:c>
      <x:c r="I7" s="11" t="str">
        <x:v>Sustainability</x:v>
      </x:c>
      <x:c r="J7" s="11" t="str">
        <x:v>Policy + risk authority</x:v>
      </x:c>
      <x:c r="K7" s="11" t="str">
        <x:v>Counter / counsel review</x:v>
      </x:c>
      <x:c r="L7" s="11" t="str">
        <x:v>SYNTHETIC / DEMO DATA</x:v>
      </x:c>
    </x:row>
    <x:row r="8" ht="15" hidden="0" customHeight="1">
      <x:c r="A8" s="12" t="str">
        <x:v>T31-04</x:v>
      </x:c>
      <x:c r="B8" s="12" t="str">
        <x:v>Price / index</x:v>
      </x:c>
      <x:c r="C8" s="12" t="str">
        <x:v>Defined formula + audit</x:v>
      </x:c>
      <x:c r="D8" s="12" t="str">
        <x:v>Demo: defined index; cap open</x:v>
      </x:c>
      <x:c r="E8" s="12" t="str">
        <x:v>Improved transparency</x:v>
      </x:c>
      <x:c r="F8" s="12" t="str">
        <x:v>Sensitivity required</x:v>
      </x:c>
      <x:c r="G8" s="12" t="str">
        <x:v>Budget volatility</x:v>
      </x:c>
      <x:c r="H8" s="12" t="str">
        <x:v>Demo position</x:v>
      </x:c>
      <x:c r="I8" s="12" t="str">
        <x:v>Finance</x:v>
      </x:c>
      <x:c r="J8" s="12" t="str">
        <x:v>Budget authority</x:v>
      </x:c>
      <x:c r="K8" s="12" t="str">
        <x:v>Model cap scenarios</x:v>
      </x:c>
      <x:c r="L8" s="12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f32fdaa2d0c8499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16" hidden="0" customWidth="1"/>
    <x:col min="5" max="5" width="20" hidden="0" customWidth="1"/>
    <x:col min="6" max="6" width="30" hidden="0" customWidth="1"/>
    <x:col min="7" max="7" width="42" hidden="0" customWidth="1"/>
    <x:col min="8" max="8" width="28" hidden="0" customWidth="1"/>
    <x:col min="9" max="9" width="20" hidden="0" customWidth="1"/>
    <x:col min="10" max="10" width="16" hidden="0" customWidth="1"/>
  </x:cols>
  <x:sheetData>
    <x:row r="2" ht="15" hidden="0" customHeight="1">
      <x:c r="A2" s="19" t="str">
        <x:v>Remaining issues and decision path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15" hidden="0" customHeight="1">
      <x:c r="A4" s="22" t="str">
        <x:v>Issue ID</x:v>
      </x:c>
      <x:c r="B4" s="22" t="str">
        <x:v>Linked term</x:v>
      </x:c>
      <x:c r="C4" s="22" t="str">
        <x:v>Latest gap</x:v>
      </x:c>
      <x:c r="D4" s="22" t="str">
        <x:v>Priority</x:v>
      </x:c>
      <x:c r="E4" s="22" t="str">
        <x:v>Can negotiate?</x:v>
      </x:c>
      <x:c r="F4" s="22" t="str">
        <x:v>Needs internal decision?</x:v>
      </x:c>
      <x:c r="G4" s="22" t="str">
        <x:v>Next move</x:v>
      </x:c>
      <x:c r="H4" s="22" t="str">
        <x:v>Owner</x:v>
      </x:c>
      <x:c r="I4" s="22" t="str">
        <x:v>Due / gate</x:v>
      </x:c>
      <x:c r="J4" s="22" t="str">
        <x:v>Status</x:v>
      </x:c>
    </x:row>
    <x:row r="5" ht="15" hidden="0" customHeight="1">
      <x:c r="A5" s="11" t="str">
        <x:v>I34-01</x:v>
      </x:c>
      <x:c r="B5" s="11" t="str">
        <x:v>T31-01</x:v>
      </x:c>
      <x:c r="C5" s="11" t="str">
        <x:v>Allocation schedule absent</x:v>
      </x:c>
      <x:c r="D5" s="11" t="str">
        <x:v>High</x:v>
      </x:c>
      <x:c r="E5" s="11" t="str">
        <x:v>Yes</x:v>
      </x:c>
      <x:c r="F5" s="11" t="str">
        <x:v>Yes — condition / exclusion</x:v>
      </x:c>
      <x:c r="G5" s="11" t="str">
        <x:v>Require dated evidence</x:v>
      </x:c>
      <x:c r="H5" s="11" t="str">
        <x:v>DD Lead</x:v>
      </x:c>
      <x:c r="I5" s="11" t="str">
        <x:v>Before preferred bidder</x:v>
      </x:c>
      <x:c r="J5" s="11" t="str">
        <x:v>Open</x:v>
      </x:c>
    </x:row>
    <x:row r="6" ht="15" hidden="0" customHeight="1">
      <x:c r="A6" s="12" t="str">
        <x:v>I34-02</x:v>
      </x:c>
      <x:c r="B6" s="12" t="str">
        <x:v>T31-02</x:v>
      </x:c>
      <x:c r="C6" s="12" t="str">
        <x:v>Delay remedy unresolved</x:v>
      </x:c>
      <x:c r="D6" s="12" t="str">
        <x:v>High</x:v>
      </x:c>
      <x:c r="E6" s="12" t="str">
        <x:v>Yes</x:v>
      </x:c>
      <x:c r="F6" s="12" t="str">
        <x:v>Yes — acceptable exposure</x:v>
      </x:c>
      <x:c r="G6" s="12" t="str">
        <x:v>Counter with remedy ladder</x:v>
      </x:c>
      <x:c r="H6" s="12" t="str">
        <x:v>Commercial Lead</x:v>
      </x:c>
      <x:c r="I6" s="12" t="str">
        <x:v>G9</x:v>
      </x:c>
      <x:c r="J6" s="12" t="str">
        <x:v>Open</x:v>
      </x:c>
    </x:row>
    <x:row r="7" ht="15" hidden="0" customHeight="1">
      <x:c r="A7" s="11" t="str">
        <x:v>I34-03</x:v>
      </x:c>
      <x:c r="B7" s="11" t="str">
        <x:v>T31-03</x:v>
      </x:c>
      <x:c r="C7" s="11" t="str">
        <x:v>Replacement protection unresolved</x:v>
      </x:c>
      <x:c r="D7" s="11" t="str">
        <x:v>High</x:v>
      </x:c>
      <x:c r="E7" s="11" t="str">
        <x:v>Yes</x:v>
      </x:c>
      <x:c r="F7" s="11" t="str">
        <x:v>Yes — claim risk</x:v>
      </x:c>
      <x:c r="G7" s="11" t="str">
        <x:v>Counsel wording + policy check</x:v>
      </x:c>
      <x:c r="H7" s="11" t="str">
        <x:v>Sustainability + Legal</x:v>
      </x:c>
      <x:c r="I7" s="11" t="str">
        <x:v>G9</x:v>
      </x:c>
      <x:c r="J7" s="11" t="str">
        <x:v>Open</x:v>
      </x:c>
    </x:row>
    <x:row r="8" ht="15" hidden="0" customHeight="1">
      <x:c r="A8" s="12" t="str">
        <x:v>I34-04</x:v>
      </x:c>
      <x:c r="B8" s="12" t="str">
        <x:v>T31-04</x:v>
      </x:c>
      <x:c r="C8" s="12" t="str">
        <x:v>Price cap unresolved</x:v>
      </x:c>
      <x:c r="D8" s="12" t="str">
        <x:v>Medium</x:v>
      </x:c>
      <x:c r="E8" s="12" t="str">
        <x:v>Yes</x:v>
      </x:c>
      <x:c r="F8" s="12" t="str">
        <x:v>Yes — budget range</x:v>
      </x:c>
      <x:c r="G8" s="12" t="str">
        <x:v>Model scenarios then mandate</x:v>
      </x:c>
      <x:c r="H8" s="12" t="str">
        <x:v>Finance</x:v>
      </x:c>
      <x:c r="I8" s="12" t="str">
        <x:v>G9</x:v>
      </x:c>
      <x:c r="J8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1958920da5f44b1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6" hidden="0" customWidth="1"/>
    <x:col min="5" max="5" width="24" hidden="0" customWidth="1"/>
    <x:col min="6" max="6" width="18" hidden="0" customWidth="1"/>
    <x:col min="7" max="7" width="22" hidden="0" customWidth="1"/>
    <x:col min="8" max="8" width="24" hidden="0" customWidth="1"/>
    <x:col min="9" max="9" width="22" hidden="0" customWidth="1"/>
    <x:col min="10" max="10" width="24" hidden="0" customWidth="1"/>
    <x:col min="11" max="11" width="26" hidden="0" customWidth="1"/>
    <x:col min="12" max="12" width="28" hidden="0" customWidth="1"/>
    <x:col min="13" max="13" width="26" hidden="0" customWidth="1"/>
  </x:cols>
  <x:sheetData>
    <x:row r="2" ht="15" hidden="0" customHeight="1">
      <x:c r="A2" s="19" t="str">
        <x:v>Final commercial scenarios — synthetic demonstration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</x:row>
    <x:row r="4" ht="15" hidden="0" customHeight="1">
      <x:c r="A4" s="22" t="str">
        <x:v>Scenario</x:v>
      </x:c>
      <x:c r="B4" s="22" t="str">
        <x:v>Annual MWh</x:v>
      </x:c>
      <x:c r="C4" s="22" t="str">
        <x:v>Base NTD/MWh</x:v>
      </x:c>
      <x:c r="D4" s="22" t="str">
        <x:v>Pass-through NTD/MWh</x:v>
      </x:c>
      <x:c r="E4" s="22" t="str">
        <x:v>Cap effect NTD/MWh</x:v>
      </x:c>
      <x:c r="F4" s="22" t="str">
        <x:v>Bridge MWh</x:v>
      </x:c>
      <x:c r="G4" s="22" t="str">
        <x:v>Bridge NTD/MWh</x:v>
      </x:c>
      <x:c r="H4" s="22" t="str">
        <x:v>Annual supply NTD</x:v>
      </x:c>
      <x:c r="I4" s="22" t="str">
        <x:v>Bridge NTD</x:v>
      </x:c>
      <x:c r="J4" s="22" t="str">
        <x:v>Total NTD</x:v>
      </x:c>
      <x:c r="K4" s="22" t="str">
        <x:v>Effective NTD/MWh</x:v>
      </x:c>
      <x:c r="L4" s="22" t="str">
        <x:v>Decision signal</x:v>
      </x:c>
      <x:c r="M4" s="22" t="str">
        <x:v>Truth status</x:v>
      </x:c>
    </x:row>
    <x:row r="5" ht="15" hidden="0" customHeight="1">
      <x:c r="A5" s="11" t="str">
        <x:v>S34-A — target</x:v>
      </x:c>
      <x:c r="B5" s="14" t="n">
        <x:v>30000</x:v>
      </x:c>
      <x:c r="C5" s="14" t="n">
        <x:v>3450</x:v>
      </x:c>
      <x:c r="D5" s="14" t="n">
        <x:v>0</x:v>
      </x:c>
      <x:c r="E5" s="14" t="n">
        <x:v>0</x:v>
      </x:c>
      <x:c r="F5" s="14" t="n">
        <x:v>0</x:v>
      </x:c>
      <x:c r="G5" s="14" t="n">
        <x:v>4200</x:v>
      </x:c>
      <x:c r="H5" s="15" t="n">
        <x:f>B5*(C5+D5+E5)</x:f>
        <x:v>103500000</x:v>
      </x:c>
      <x:c r="I5" s="15" t="n">
        <x:f>F5*G5</x:f>
        <x:v>0</x:v>
      </x:c>
      <x:c r="J5" s="15" t="n">
        <x:f>H5+I5</x:f>
        <x:v>103500000</x:v>
      </x:c>
      <x:c r="K5" s="15" t="n">
        <x:f>IF(B5+F5=0,0,J5/(B5+F5))</x:f>
        <x:v>3450</x:v>
      </x:c>
      <x:c r="L5" s="11" t="str">
        <x:f>IF(K5&lt;=3700,"WITHIN DEMO RANGE",IF(K5&lt;=4000,"AUTHORITY NEEDED","ESCALATE"))</x:f>
        <x:v>WITHIN DEMO RANGE</x:v>
      </x:c>
      <x:c r="M5" s="11" t="str">
        <x:v>SYNTHETIC / DEMO DATA</x:v>
      </x:c>
    </x:row>
    <x:row r="6" ht="15" hidden="0" customHeight="1">
      <x:c r="A6" s="12" t="str">
        <x:v>S34-B — accept limited pass-through</x:v>
      </x:c>
      <x:c r="B6" s="14" t="n">
        <x:v>30000</x:v>
      </x:c>
      <x:c r="C6" s="14" t="n">
        <x:v>3450</x:v>
      </x:c>
      <x:c r="D6" s="14" t="n">
        <x:v>180</x:v>
      </x:c>
      <x:c r="E6" s="14" t="n">
        <x:v>0</x:v>
      </x:c>
      <x:c r="F6" s="14" t="n">
        <x:v>0</x:v>
      </x:c>
      <x:c r="G6" s="14" t="n">
        <x:v>4200</x:v>
      </x:c>
      <x:c r="H6" s="16" t="n">
        <x:f>B6*(C6+D6+E6)</x:f>
        <x:v>108900000</x:v>
      </x:c>
      <x:c r="I6" s="16" t="n">
        <x:f>F6*G6</x:f>
        <x:v>0</x:v>
      </x:c>
      <x:c r="J6" s="16" t="n">
        <x:f>H6+I6</x:f>
        <x:v>108900000</x:v>
      </x:c>
      <x:c r="K6" s="16" t="n">
        <x:f>IF(B6+F6=0,0,J6/(B6+F6))</x:f>
        <x:v>3630</x:v>
      </x:c>
      <x:c r="L6" s="12" t="str">
        <x:f>IF(K6&lt;=3700,"WITHIN DEMO RANGE",IF(K6&lt;=4000,"AUTHORITY NEEDED","ESCALATE"))</x:f>
        <x:v>WITHIN DEMO RANGE</x:v>
      </x:c>
      <x:c r="M6" s="12" t="str">
        <x:v>SYNTHETIC / DEMO DATA</x:v>
      </x:c>
    </x:row>
    <x:row r="7" ht="15" hidden="0" customHeight="1">
      <x:c r="A7" s="11" t="str">
        <x:v>S34-C — one-year delay + bridge</x:v>
      </x:c>
      <x:c r="B7" s="14" t="n">
        <x:v>30000</x:v>
      </x:c>
      <x:c r="C7" s="14" t="n">
        <x:v>3450</x:v>
      </x:c>
      <x:c r="D7" s="14" t="n">
        <x:v>180</x:v>
      </x:c>
      <x:c r="E7" s="14" t="n">
        <x:v>0</x:v>
      </x:c>
      <x:c r="F7" s="14" t="n">
        <x:v>30000</x:v>
      </x:c>
      <x:c r="G7" s="14" t="n">
        <x:v>4200</x:v>
      </x:c>
      <x:c r="H7" s="15" t="n">
        <x:f>B7*(C7+D7+E7)</x:f>
        <x:v>108900000</x:v>
      </x:c>
      <x:c r="I7" s="15" t="n">
        <x:f>F7*G7</x:f>
        <x:v>126000000</x:v>
      </x:c>
      <x:c r="J7" s="15" t="n">
        <x:f>H7+I7</x:f>
        <x:v>234900000</x:v>
      </x:c>
      <x:c r="K7" s="15" t="n">
        <x:f>IF(B7+F7=0,0,J7/(B7+F7))</x:f>
        <x:v>3915</x:v>
      </x:c>
      <x:c r="L7" s="11" t="str">
        <x:f>IF(K7&lt;=3700,"WITHIN DEMO RANGE",IF(K7&lt;=4000,"AUTHORITY NEEDED","ESCALATE"))</x:f>
        <x:v>AUTHORITY NEEDED</x:v>
      </x:c>
      <x:c r="M7" s="11" t="str">
        <x:v>SYNTHETIC / DEMO DATA</x:v>
      </x:c>
    </x:row>
    <x:row r="8" ht="15" hidden="0" customHeight="1">
      <x:c r="A8" s="12" t="str">
        <x:v>S34-D — capped pass-through</x:v>
      </x:c>
      <x:c r="B8" s="14" t="n">
        <x:v>30000</x:v>
      </x:c>
      <x:c r="C8" s="14" t="n">
        <x:v>3450</x:v>
      </x:c>
      <x:c r="D8" s="14" t="n">
        <x:v>180</x:v>
      </x:c>
      <x:c r="E8" s="14" t="n">
        <x:v>-80</x:v>
      </x:c>
      <x:c r="F8" s="14" t="n">
        <x:v>0</x:v>
      </x:c>
      <x:c r="G8" s="14" t="n">
        <x:v>4200</x:v>
      </x:c>
      <x:c r="H8" s="16" t="n">
        <x:f>B8*(C8+D8+E8)</x:f>
        <x:v>106500000</x:v>
      </x:c>
      <x:c r="I8" s="16" t="n">
        <x:f>F8*G8</x:f>
        <x:v>0</x:v>
      </x:c>
      <x:c r="J8" s="16" t="n">
        <x:f>H8+I8</x:f>
        <x:v>106500000</x:v>
      </x:c>
      <x:c r="K8" s="16" t="n">
        <x:f>IF(B8+F8=0,0,J8/(B8+F8))</x:f>
        <x:v>3550</x:v>
      </x:c>
      <x:c r="L8" s="12" t="str">
        <x:f>IF(K8&lt;=3700,"WITHIN DEMO RANGE",IF(K8&lt;=4000,"AUTHORITY NEEDED","ESCALATE"))</x:f>
        <x:v>WITHIN DEMO RANGE</x:v>
      </x:c>
      <x:c r="M8" s="12" t="str">
        <x:v>SYNTHETIC /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bfefd97cb1e045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20" hidden="0" customWidth="1"/>
    <x:col min="5" max="5" width="18" hidden="0" customWidth="1"/>
    <x:col min="6" max="6" width="14" hidden="0" customWidth="1"/>
    <x:col min="7" max="7" width="48" hidden="0" customWidth="1"/>
    <x:col min="8" max="8" width="32" hidden="0" customWidth="1"/>
    <x:col min="9" max="9" width="30" hidden="0" customWidth="1"/>
    <x:col min="10" max="10" width="34" hidden="0" customWidth="1"/>
    <x:col min="11" max="11" width="16" hidden="0" customWidth="1"/>
  </x:cols>
  <x:sheetData>
    <x:row r="2" ht="15" hidden="0" customHeight="1">
      <x:c r="A2" s="19" t="str">
        <x:v>Residual risk acceptance record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15" hidden="0" customHeight="1">
      <x:c r="A4" s="22" t="str">
        <x:v>Risk ID</x:v>
      </x:c>
      <x:c r="B4" s="22" t="str">
        <x:v>Issue ID</x:v>
      </x:c>
      <x:c r="C4" s="22" t="str">
        <x:v>Residual risk</x:v>
      </x:c>
      <x:c r="D4" s="22" t="str">
        <x:v>Likelihood 1–5</x:v>
      </x:c>
      <x:c r="E4" s="22" t="str">
        <x:v>Impact 1–5</x:v>
      </x:c>
      <x:c r="F4" s="22" t="str">
        <x:v>Score</x:v>
      </x:c>
      <x:c r="G4" s="22" t="str">
        <x:v>Mitigation / condition</x:v>
      </x:c>
      <x:c r="H4" s="22" t="str">
        <x:v>Risk acceptor</x:v>
      </x:c>
      <x:c r="I4" s="22" t="str">
        <x:v>Authority evidence</x:v>
      </x:c>
      <x:c r="J4" s="22" t="str">
        <x:v>Decision</x:v>
      </x:c>
      <x:c r="K4" s="22" t="str">
        <x:v>Status</x:v>
      </x:c>
    </x:row>
    <x:row r="5" ht="15" hidden="0" customHeight="1">
      <x:c r="A5" s="11" t="str">
        <x:v>RA34-01</x:v>
      </x:c>
      <x:c r="B5" s="11" t="str">
        <x:v>I34-01</x:v>
      </x:c>
      <x:c r="C5" s="11" t="str">
        <x:v>Offered supply allocation may remain unverified</x:v>
      </x:c>
      <x:c r="D5" s="13" t="n">
        <x:v>3</x:v>
      </x:c>
      <x:c r="E5" s="13" t="n">
        <x:v>5</x:v>
      </x:c>
      <x:c r="F5" s="11" t="n">
        <x:f>D5*E5</x:f>
        <x:v>15</x:v>
      </x:c>
      <x:c r="G5" s="11" t="str">
        <x:v>Condition selection on evidence</x:v>
      </x:c>
      <x:c r="H5" s="11" t="str">
        <x:v>Client risk owner — TBD</x:v>
      </x:c>
      <x:c r="I5" s="11" t="str">
        <x:v>TBD</x:v>
      </x:c>
      <x:c r="J5" s="11" t="str">
        <x:v>Do not accept yet</x:v>
      </x:c>
      <x:c r="K5" s="11" t="str">
        <x:v>Open</x:v>
      </x:c>
    </x:row>
    <x:row r="6" ht="15" hidden="0" customHeight="1">
      <x:c r="A6" s="12" t="str">
        <x:v>RA34-02</x:v>
      </x:c>
      <x:c r="B6" s="12" t="str">
        <x:v>I34-02</x:v>
      </x:c>
      <x:c r="C6" s="12" t="str">
        <x:v>Delay could require higher-cost bridge</x:v>
      </x:c>
      <x:c r="D6" s="13" t="n">
        <x:v>3</x:v>
      </x:c>
      <x:c r="E6" s="13" t="n">
        <x:v>4</x:v>
      </x:c>
      <x:c r="F6" s="12" t="n">
        <x:f>D6*E6</x:f>
        <x:v>12</x:v>
      </x:c>
      <x:c r="G6" s="12" t="str">
        <x:v>Longstop, remedy, fallback</x:v>
      </x:c>
      <x:c r="H6" s="12" t="str">
        <x:v>Client risk owner — TBD</x:v>
      </x:c>
      <x:c r="I6" s="12" t="str">
        <x:v>TBD</x:v>
      </x:c>
      <x:c r="J6" s="12" t="str">
        <x:v>Quantify then decide</x:v>
      </x:c>
      <x:c r="K6" s="12" t="str">
        <x:v>Open</x:v>
      </x:c>
    </x:row>
    <x:row r="7" ht="15" hidden="0" customHeight="1">
      <x:c r="A7" s="11" t="str">
        <x:v>RA34-03</x:v>
      </x:c>
      <x:c r="B7" s="11" t="str">
        <x:v>I34-03</x:v>
      </x:c>
      <x:c r="C7" s="11" t="str">
        <x:v>Invalid / late certificate could impair claim</x:v>
      </x:c>
      <x:c r="D7" s="13" t="n">
        <x:v>2</x:v>
      </x:c>
      <x:c r="E7" s="13" t="n">
        <x:v>5</x:v>
      </x:c>
      <x:c r="F7" s="11" t="n">
        <x:f>D7*E7</x:f>
        <x:v>10</x:v>
      </x:c>
      <x:c r="G7" s="11" t="str">
        <x:v>Warranty + replacement + reconciliation</x:v>
      </x:c>
      <x:c r="H7" s="11" t="str">
        <x:v>Client risk owner — TBD</x:v>
      </x:c>
      <x:c r="I7" s="11" t="str">
        <x:v>TBD</x:v>
      </x:c>
      <x:c r="J7" s="11" t="str">
        <x:v>Counsel / policy review</x:v>
      </x:c>
      <x:c r="K7" s="11" t="str">
        <x:v>Open</x:v>
      </x:c>
    </x:row>
    <x:row r="8" ht="15" hidden="0" customHeight="1">
      <x:c r="A8" s="12" t="str">
        <x:v>RA34-04</x:v>
      </x:c>
      <x:c r="B8" s="12" t="str">
        <x:v>I34-04</x:v>
      </x:c>
      <x:c r="C8" s="12" t="str">
        <x:v>Index may exceed budget tolerance</x:v>
      </x:c>
      <x:c r="D8" s="13" t="n">
        <x:v>3</x:v>
      </x:c>
      <x:c r="E8" s="13" t="n">
        <x:v>3</x:v>
      </x:c>
      <x:c r="F8" s="12" t="n">
        <x:f>D8*E8</x:f>
        <x:v>9</x:v>
      </x:c>
      <x:c r="G8" s="12" t="str">
        <x:v>Cap / floor + scenario monitoring</x:v>
      </x:c>
      <x:c r="H8" s="12" t="str">
        <x:v>Budget owner — TBD</x:v>
      </x:c>
      <x:c r="I8" s="12" t="str">
        <x:v>TBD</x:v>
      </x:c>
      <x:c r="J8" s="12" t="str">
        <x:v>Set mandate</x:v>
      </x:c>
      <x:c r="K8" s="12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64706deb46df45b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30" hidden="0" customWidth="1"/>
    <x:col min="3" max="3" width="38" hidden="0" customWidth="1"/>
    <x:col min="4" max="4" width="38" hidden="0" customWidth="1"/>
    <x:col min="5" max="5" width="48" hidden="0" customWidth="1"/>
    <x:col min="6" max="6" width="34" hidden="0" customWidth="1"/>
    <x:col min="7" max="7" width="20" hidden="0" customWidth="1"/>
    <x:col min="8" max="8" width="18" hidden="0" customWidth="1"/>
    <x:col min="9" max="9" width="26" hidden="0" customWidth="1"/>
  </x:cols>
  <x:sheetData>
    <x:row r="2" ht="15" hidden="0" customHeight="1">
      <x:c r="A2" s="19" t="str">
        <x:v>G9 internal decision summary — demo</x:v>
      </x:c>
      <x:c r="B2" s="20"/>
      <x:c r="C2" s="20"/>
      <x:c r="D2" s="20"/>
      <x:c r="E2" s="20"/>
      <x:c r="F2" s="20"/>
      <x:c r="G2" s="20"/>
      <x:c r="H2" s="20"/>
      <x:c r="I2" s="20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21"/>
    </x:row>
    <x:row r="4" ht="15" hidden="0" customHeight="1">
      <x:c r="A4" s="22" t="str">
        <x:v>Decision question</x:v>
      </x:c>
      <x:c r="B4" s="22" t="str">
        <x:v>Model signal / status</x:v>
      </x:c>
      <x:c r="C4" s="22" t="str">
        <x:v>Evidence</x:v>
      </x:c>
      <x:c r="D4" s="22" t="str">
        <x:v>Recommended action</x:v>
      </x:c>
      <x:c r="E4" s="22" t="str">
        <x:v>Conditions</x:v>
      </x:c>
      <x:c r="F4" s="22" t="str">
        <x:v>Owner</x:v>
      </x:c>
      <x:c r="G4" s="22" t="str">
        <x:v>Decision</x:v>
      </x:c>
      <x:c r="H4" s="22" t="str">
        <x:v>Date</x:v>
      </x:c>
      <x:c r="I4" s="22" t="str">
        <x:v>Truth status</x:v>
      </x:c>
    </x:row>
    <x:row r="5" ht="15" hidden="0" customHeight="1">
      <x:c r="A5" s="11" t="str">
        <x:v>Accept current offer?</x:v>
      </x:c>
      <x:c r="B5" s="11" t="str">
        <x:v>Do not accept</x:v>
      </x:c>
      <x:c r="C5" s="11" t="str">
        <x:v>Material issues remain open</x:v>
      </x:c>
      <x:c r="D5" s="11" t="str">
        <x:v>Continue / counter</x:v>
      </x:c>
      <x:c r="E5" s="11" t="str">
        <x:v>Close allocation, delay and certificate protections</x:v>
      </x:c>
      <x:c r="F5" s="11" t="str">
        <x:v>Decision body — TBD</x:v>
      </x:c>
      <x:c r="G5" s="11" t="str">
        <x:v>TBD</x:v>
      </x:c>
      <x:c r="H5" s="11" t="str">
        <x:v>TBD</x:v>
      </x:c>
      <x:c r="I5" s="11" t="str">
        <x:v>HYPOTHESIS</x:v>
      </x:c>
    </x:row>
    <x:row r="6" ht="15" hidden="0" customHeight="1">
      <x:c r="A6" s="12" t="str">
        <x:v>Authorize next counter?</x:v>
      </x:c>
      <x:c r="B6" s="12" t="str">
        <x:v>Authority not documented</x:v>
      </x:c>
      <x:c r="C6" s="12" t="str">
        <x:v>3.1 authority matrix TBD</x:v>
      </x:c>
      <x:c r="D6" s="12" t="str">
        <x:v>Approve bounded counter</x:v>
      </x:c>
      <x:c r="E6" s="12" t="str">
        <x:v>Cap concessions and record give / get</x:v>
      </x:c>
      <x:c r="F6" s="12" t="str">
        <x:v>Budget / risk authority — TBD</x:v>
      </x:c>
      <x:c r="G6" s="12" t="str">
        <x:v>TBD</x:v>
      </x:c>
      <x:c r="H6" s="12" t="str">
        <x:v>TBD</x:v>
      </x:c>
      <x:c r="I6" s="12" t="str">
        <x:v>TBD WITH CLIENT</x:v>
      </x:c>
    </x:row>
    <x:row r="7" ht="15" hidden="0" customHeight="1">
      <x:c r="A7" s="11" t="str">
        <x:v>Retain fallback?</x:v>
      </x:c>
      <x:c r="B7" s="11" t="str">
        <x:v>Yes</x:v>
      </x:c>
      <x:c r="C7" s="11" t="str">
        <x:v>Negotiation not closed</x:v>
      </x:c>
      <x:c r="D7" s="11" t="str">
        <x:v>Keep alternate / bridge live</x:v>
      </x:c>
      <x:c r="E7" s="11" t="str">
        <x:v>Define trigger and validity</x:v>
      </x:c>
      <x:c r="F7" s="11" t="str">
        <x:v>Project Lead</x:v>
      </x:c>
      <x:c r="G7" s="11" t="str">
        <x:v>TBD</x:v>
      </x:c>
      <x:c r="H7" s="11" t="str">
        <x:v>TBD</x:v>
      </x:c>
      <x:c r="I7" s="11" t="str">
        <x:v>HYPOTHESIS</x:v>
      </x:c>
    </x:row>
    <x:row r="8" ht="15" hidden="0" customHeight="1">
      <x:c r="A8" s="12" t="str">
        <x:v>Advance to signing readiness?</x:v>
      </x:c>
      <x:c r="B8" s="12" t="str">
        <x:v>Conditional</x:v>
      </x:c>
      <x:c r="C8" s="12" t="str">
        <x:v>G10 evidence incomplete</x:v>
      </x:c>
      <x:c r="D8" s="12" t="str">
        <x:v>Do not sign; prepare readiness tracker</x:v>
      </x:c>
      <x:c r="E8" s="12" t="str">
        <x:v>All high issues + authority + documents</x:v>
      </x:c>
      <x:c r="F8" s="12" t="str">
        <x:v>Project Lead / Legal</x:v>
      </x:c>
      <x:c r="G8" s="12" t="str">
        <x:v>TBD</x:v>
      </x:c>
      <x:c r="H8" s="12" t="str">
        <x:v>TBD</x:v>
      </x:c>
      <x:c r="I8" s="12" t="str">
        <x:v>HYPOTHESIS</x:v>
      </x:c>
    </x:row>
  </x:sheetData>
  <x:pageMargins left="0.7" right="0.7" top="0.75" bottom="0.75" header="0.3" footer="0.3"/>
  <x:tableParts count="1">
    <x:tablePart xmlns:r="http://schemas.openxmlformats.org/officeDocument/2006/relationships" r:id="Rb838d5764e684048"/>
  </x:tableParts>
</x:worksheet>
</file>