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8c21f0d1b34d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3c1b22ccc2d44102"/>
    <x:sheet xmlns:r="http://schemas.openxmlformats.org/officeDocument/2006/relationships" name="Request Log" sheetId="2" r:id="R682a84099be34f5c"/>
    <x:sheet xmlns:r="http://schemas.openxmlformats.org/officeDocument/2006/relationships" name="Completeness" sheetId="3" r:id="R96ddf56fe12c4b53"/>
    <x:sheet xmlns:r="http://schemas.openxmlformats.org/officeDocument/2006/relationships" name="Data Gap Log" sheetId="4" r:id="R103ae242ec8b47fe"/>
    <x:sheet xmlns:r="http://schemas.openxmlformats.org/officeDocument/2006/relationships" name="Interview Plan" sheetId="5" r:id="R328ebbb962664c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7">
    <x:font>
      <x:sz val="11"/>
      <x:name val="Carlito"/>
    </x:font>
    <x:font>
      <x:b/>
      <x:sz val="14"/>
      <x:color rgb="FF000000"/>
      <x:name val="Arial"/>
    </x:font>
    <x:font>
      <x:b/>
      <x:sz val="10"/>
      <x:color rgb="FFFFFFFF"/>
      <x:name val="Arial"/>
    </x:font>
    <x:font>
      <x:sz val="10"/>
      <x:name val="Arial"/>
    </x:font>
    <x:font>
      <x:sz val="10"/>
      <x:color rgb="FF000000"/>
      <x:name val="Arial"/>
    </x:font>
    <x:font>
      <x:b/>
      <x:sz val="10"/>
      <x:name val="Arial"/>
    </x:font>
    <x:font>
      <x:b/>
      <x:sz val="10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F3F5F7"/>
      </x:patternFill>
    </x:fill>
  </x:fills>
  <x:borders count="4">
    <x:border/>
    <x:border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3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200" fontId="4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3" xfId="0" applyNumberFormat="1" applyFont="1" applyFill="1" applyBorder="1"/>
    <x:xf numFmtId="201" fontId="3" fillId="0" borderId="3" xfId="0" applyNumberFormat="1" applyFont="1" applyFill="1" applyBorder="1"/>
    <x:xf numFmtId="201" fontId="4" fillId="0" borderId="3" xfId="0" applyNumberFormat="1" applyFont="1" applyFill="1" applyBorder="1" applyAlignment="1">
      <x:alignment vertical="center" wrapText="1"/>
    </x:xf>
    <x:xf numFmtId="201" fontId="4" fillId="3" borderId="3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201" fontId="3" fillId="0" borderId="3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583b3432874970" /><Relationship Type="http://schemas.openxmlformats.org/officeDocument/2006/relationships/theme" Target="/xl/theme/theme1.xml" Id="R5fe9b312ee9a4349" /><Relationship Type="http://schemas.openxmlformats.org/officeDocument/2006/relationships/sharedStrings" Target="/xl/sharedStrings.xml" Id="R0e55fc1d5bcf42d3" /><Relationship Type="http://schemas.openxmlformats.org/officeDocument/2006/relationships/worksheet" Target="/xl/worksheets/sheet1.xml" Id="R3c1b22ccc2d44102" /><Relationship Type="http://schemas.openxmlformats.org/officeDocument/2006/relationships/worksheet" Target="/xl/worksheets/sheet2.xml" Id="R682a84099be34f5c" /><Relationship Type="http://schemas.openxmlformats.org/officeDocument/2006/relationships/worksheet" Target="/xl/worksheets/sheet3.xml" Id="R96ddf56fe12c4b53" /><Relationship Type="http://schemas.openxmlformats.org/officeDocument/2006/relationships/worksheet" Target="/xl/worksheets/sheet4.xml" Id="R103ae242ec8b47fe" /><Relationship Type="http://schemas.openxmlformats.org/officeDocument/2006/relationships/worksheet" Target="/xl/worksheets/sheet5.xml" Id="R328ebbb962664cb3" /></Relationships>
</file>

<file path=xl/tables/table1.xml><?xml version="1.0" encoding="utf-8"?>
<x:table xmlns:x="http://schemas.openxmlformats.org/spreadsheetml/2006/main" id="1" name="DataRequestTable" displayName="DataRequestTable" ref="A4:N10" headerRowCount="1" totalsRowCount="0" totalsRowShown="0">
  <x:autoFilter ref="A4:N10"/>
  <x:tableColumns count="14">
    <x:tableColumn id="1" name="Request ID"/>
    <x:tableColumn id="2" name="Category"/>
    <x:tableColumn id="3" name="File / data"/>
    <x:tableColumn id="4" name="Required fields"/>
    <x:tableColumn id="5" name="Grain"/>
    <x:tableColumn id="6" name="Period"/>
    <x:tableColumn id="7" name="Classification"/>
    <x:tableColumn id="8" name="Purpose / decision use"/>
    <x:tableColumn id="9" name="Owner"/>
    <x:tableColumn id="10" name="Due date"/>
    <x:tableColumn id="11" name="Status"/>
    <x:tableColumn id="12" name="Quality status"/>
    <x:tableColumn id="13" name="Downstream use"/>
    <x:tableColumn id="1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letenessTable" displayName="CompletenessTable" ref="A10:H16" headerRowCount="1" totalsRowCount="0" totalsRowShown="0">
  <x:autoFilter ref="A10:H16"/>
  <x:tableColumns count="8">
    <x:tableColumn id="1" name="Category"/>
    <x:tableColumn id="2" name="Requests"/>
    <x:tableColumn id="3" name="Received / accepted"/>
    <x:tableColumn id="4" name="Coverage"/>
    <x:tableColumn id="5" name="Materiality"/>
    <x:tableColumn id="6" name="Default treatment"/>
    <x:tableColumn id="7" name="G1 implication"/>
    <x:tableColumn id="8" name="Truth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GapTable" displayName="DataGapTable" ref="A4:K6" headerRowCount="1" totalsRowCount="0" totalsRowShown="0">
  <x:autoFilter ref="A4:K6"/>
  <x:tableColumns count="11">
    <x:tableColumn id="1" name="Gap ID"/>
    <x:tableColumn id="2" name="Request ID"/>
    <x:tableColumn id="3" name="Gap / quality issue"/>
    <x:tableColumn id="4" name="Affected period / rows"/>
    <x:tableColumn id="5" name="Decision impact"/>
    <x:tableColumn id="6" name="Impact range"/>
    <x:tableColumn id="7" name="Treatment"/>
    <x:tableColumn id="8" name="Approval owner"/>
    <x:tableColumn id="9" name="Due date"/>
    <x:tableColumn id="10" name="Status"/>
    <x:tableColumn id="11" name="Affected output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terviewPlanTable" displayName="InterviewPlanTable" ref="A4:I7" headerRowCount="1" totalsRowCount="0" totalsRowShown="0">
  <x:autoFilter ref="A4:I7"/>
  <x:tableColumns count="9">
    <x:tableColumn id="1" name="Interview ID"/>
    <x:tableColumn id="2" name="Role hypothesis"/>
    <x:tableColumn id="3" name="Objective"/>
    <x:tableColumn id="4" name="Key questions"/>
    <x:tableColumn id="5" name="Evidence requested"/>
    <x:tableColumn id="6" name="Optimum owner"/>
    <x:tableColumn id="7" name="Target date"/>
    <x:tableColumn id="8" name="Output / decision"/>
    <x:tableColumn id="9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da3bb56db64c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21198eb01843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ddc46c62ff4b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0dd7070b0f4e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8" hidden="0" customWidth="1"/>
    <x:col min="3" max="3" width="34" hidden="0" customWidth="1"/>
    <x:col min="4" max="4" width="34" hidden="0" customWidth="1"/>
    <x:col min="5" max="5" width="34" hidden="0" customWidth="1"/>
    <x:col min="6" max="6" width="38" hidden="0" customWidth="1"/>
  </x:cols>
  <x:sheetData>
    <x:row r="1" ht="8" customHeight="1"/>
    <x:row r="2" ht="15" hidden="0" customHeight="1">
      <x:c r="A2" s="28" t="str">
        <x:v>Data request tracker — instructions and status rules</x:v>
      </x:c>
      <x:c r="B2" s="29"/>
      <x:c r="C2" s="29"/>
      <x:c r="D2" s="29"/>
      <x:c r="E2" s="29"/>
      <x:c r="F2" s="29"/>
    </x:row>
    <x:row r="3" ht="15" hidden="0" customHeight="1">
      <x:c r="A3" s="30"/>
      <x:c r="B3" s="30"/>
      <x:c r="C3" s="30"/>
      <x:c r="D3" s="30"/>
      <x:c r="E3" s="30"/>
      <x:c r="F3" s="30"/>
    </x:row>
    <x:row r="4" ht="15" hidden="0" customHeight="1">
      <x:c r="A4" s="31" t="str">
        <x:v>Rule</x:v>
      </x:c>
      <x:c r="B4" s="31" t="str">
        <x:v>Required practice</x:v>
      </x:c>
      <x:c r="C4" s="31" t="str">
        <x:v>Truth status</x:v>
      </x:c>
      <x:c r="D4" s="31" t="str">
        <x:v>Classification</x:v>
      </x:c>
      <x:c r="E4" s="31" t="str">
        <x:v>Status</x:v>
      </x:c>
      <x:c r="F4" s="31" t="str">
        <x:v>Decision effect</x:v>
      </x:c>
    </x:row>
    <x:row r="5" ht="24" hidden="0" customHeight="1">
      <x:c r="A5" s="32" t="str">
        <x:v>One row per request</x:v>
      </x:c>
      <x:c r="B5" s="32" t="str">
        <x:v>Keep request ID stable; link every file and gap to it</x:v>
      </x:c>
      <x:c r="C5" s="32" t="str">
        <x:v>KNOWN / HYPOTHESIS / TBD / SYNTHETIC / RESEARCH REQUIRED</x:v>
      </x:c>
      <x:c r="D5" s="32" t="str">
        <x:v>Public / Internal / Client Confidential / Highly Restricted</x:v>
      </x:c>
      <x:c r="E5" s="32" t="str">
        <x:v>Requested / In Progress / Received / Accepted / Superseded / Not Available</x:v>
      </x:c>
      <x:c r="F5" s="32" t="str">
        <x:v>Shows whether G1 can proceed</x:v>
      </x:c>
    </x:row>
    <x:row r="6" ht="15" hidden="0" customHeight="1">
      <x:c r="A6" s="32" t="str">
        <x:v>Minimum necessary</x:v>
      </x:c>
      <x:c r="B6" s="32" t="str">
        <x:v>Request only fields used by a named decision or model</x:v>
      </x:c>
      <x:c r="C6" s="32" t="str">
        <x:v>TBD if client-specific</x:v>
      </x:c>
      <x:c r="D6" s="32" t="str">
        <x:v>Use higher level when unsure</x:v>
      </x:c>
      <x:c r="E6" s="32" t="str">
        <x:v>Requested</x:v>
      </x:c>
      <x:c r="F6" s="32" t="str">
        <x:v>Avoids excess confidentiality exposure</x:v>
      </x:c>
    </x:row>
    <x:row r="7" ht="15" hidden="0" customHeight="1">
      <x:c r="A7" s="32" t="str">
        <x:v>Raw versus working</x:v>
      </x:c>
      <x:c r="B7" s="32" t="str">
        <x:v>Never overwrite the client source; record version and transform</x:v>
      </x:c>
      <x:c r="C7" s="32" t="str">
        <x:v>KNOWN method</x:v>
      </x:c>
      <x:c r="D7" s="32" t="str">
        <x:v>Client Confidential by default</x:v>
      </x:c>
      <x:c r="E7" s="32" t="str">
        <x:v>Received</x:v>
      </x:c>
      <x:c r="F7" s="32" t="str">
        <x:v>Preserves lineage</x:v>
      </x:c>
    </x:row>
    <x:row r="8" ht="15" hidden="0" customHeight="1">
      <x:c r="A8" s="32" t="str">
        <x:v>Quality</x:v>
      </x:c>
      <x:c r="B8" s="32" t="str">
        <x:v>Use Pass / Pass with condition / Fail / Not tested</x:v>
      </x:c>
      <x:c r="C8" s="32" t="str">
        <x:v>Threshold TBD WITH CLIENT</x:v>
      </x:c>
      <x:c r="D8" s="32" t="str">
        <x:v>Same as source</x:v>
      </x:c>
      <x:c r="E8" s="32" t="str">
        <x:v>Accepted only after review</x:v>
      </x:c>
      <x:c r="F8" s="32" t="str">
        <x:v>Controls assumptions and caveats</x:v>
      </x:c>
    </x:row>
    <x:row r="9" ht="24" hidden="0" customHeight="1">
      <x:c r="A9" s="32" t="str">
        <x:v>Demo rows</x:v>
      </x:c>
      <x:c r="B9" s="32" t="str">
        <x:v>All seeded examples are fictional and must be replaced or retained as demo</x:v>
      </x:c>
      <x:c r="C9" s="32" t="str">
        <x:v>SYNTHETIC / DEMO DATA</x:v>
      </x:c>
      <x:c r="D9" s="32" t="str">
        <x:v>Internal</x:v>
      </x:c>
      <x:c r="E9" s="32" t="str">
        <x:v>Demo</x:v>
      </x:c>
      <x:c r="F9" s="32" t="str">
        <x:v>Not client evidence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38" hidden="0" customWidth="1"/>
    <x:col min="4" max="4" width="58" hidden="0" customWidth="1"/>
    <x:col min="5" max="5" width="24" hidden="0" customWidth="1"/>
    <x:col min="6" max="6" width="20" hidden="0" customWidth="1"/>
    <x:col min="7" max="7" width="22" hidden="0" customWidth="1"/>
    <x:col min="8" max="8" width="42" hidden="0" customWidth="1"/>
    <x:col min="9" max="9" width="28" hidden="0" customWidth="1"/>
    <x:col min="10" max="10" width="14" hidden="0" customWidth="1"/>
    <x:col min="11" max="11" width="18" hidden="0" customWidth="1"/>
    <x:col min="12" max="12" width="22" hidden="0" customWidth="1"/>
    <x:col min="13" max="13" width="24" hidden="0" customWidth="1"/>
    <x:col min="14" max="14" width="30" hidden="0" customWidth="1"/>
  </x:cols>
  <x:sheetData>
    <x:row r="1" ht="8" customHeight="1"/>
    <x:row r="2" ht="15" hidden="0" customHeight="1">
      <x:c r="A2" s="28" t="str">
        <x:v>Data request log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</x:row>
    <x:row r="3" ht="15" hidden="0" customHeight="1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</x:row>
    <x:row r="4" ht="15" hidden="0" customHeight="1">
      <x:c r="A4" s="14" t="str">
        <x:v>Request ID</x:v>
      </x:c>
      <x:c r="B4" s="14" t="str">
        <x:v>Category</x:v>
      </x:c>
      <x:c r="C4" s="14" t="str">
        <x:v>File / data</x:v>
      </x:c>
      <x:c r="D4" s="14" t="str">
        <x:v>Required fields</x:v>
      </x:c>
      <x:c r="E4" s="14" t="str">
        <x:v>Grain</x:v>
      </x:c>
      <x:c r="F4" s="14" t="str">
        <x:v>Period</x:v>
      </x:c>
      <x:c r="G4" s="14" t="str">
        <x:v>Classification</x:v>
      </x:c>
      <x:c r="H4" s="14" t="str">
        <x:v>Purpose / decision use</x:v>
      </x:c>
      <x:c r="I4" s="14" t="str">
        <x:v>Owner</x:v>
      </x:c>
      <x:c r="J4" s="14" t="str">
        <x:v>Due date</x:v>
      </x:c>
      <x:c r="K4" s="14" t="str">
        <x:v>Status</x:v>
      </x:c>
      <x:c r="L4" s="14" t="str">
        <x:v>Quality status</x:v>
      </x:c>
      <x:c r="M4" s="14" t="str">
        <x:v>Downstream use</x:v>
      </x:c>
      <x:c r="N4" s="14" t="str">
        <x:v>Notes</x:v>
      </x:c>
    </x:row>
    <x:row r="5" ht="15" hidden="0" customHeight="1">
      <x:c r="A5" s="18" t="str">
        <x:v>DR-DEMO-001</x:v>
      </x:c>
      <x:c r="B5" s="18" t="str">
        <x:v>Site / meter</x:v>
      </x:c>
      <x:c r="C5" s="18" t="str">
        <x:v>SYNTHETIC site and meter master</x:v>
      </x:c>
      <x:c r="D5" s="18" t="str">
        <x:v>site_id; meter_id; valid_from; valid_to; included_flag</x:v>
      </x:c>
      <x:c r="E5" s="18" t="str">
        <x:v>meter</x:v>
      </x:c>
      <x:c r="F5" s="18" t="str">
        <x:v>current + history</x:v>
      </x:c>
      <x:c r="G5" s="18" t="str">
        <x:v>Client Confidential</x:v>
      </x:c>
      <x:c r="H5" s="18" t="str">
        <x:v>Define denominator and prevent duplicate mapping</x:v>
      </x:c>
      <x:c r="I5" s="18" t="str">
        <x:v>Facilities data owner — TBD</x:v>
      </x:c>
      <x:c r="J5" s="20"/>
      <x:c r="K5" s="18" t="str">
        <x:v>Requested</x:v>
      </x:c>
      <x:c r="L5" s="18" t="str">
        <x:v>Not tested</x:v>
      </x:c>
      <x:c r="M5" s="18" t="str">
        <x:v>1.4; 1.5; 3.6</x:v>
      </x:c>
      <x:c r="N5" s="18" t="str">
        <x:v>Demo only</x:v>
      </x:c>
    </x:row>
    <x:row r="6" ht="15" hidden="0" customHeight="1">
      <x:c r="A6" s="19" t="str">
        <x:v>DR-DEMO-002</x:v>
      </x:c>
      <x:c r="B6" s="19" t="str">
        <x:v>Consumption</x:v>
      </x:c>
      <x:c r="C6" s="19" t="str">
        <x:v>SYNTHETIC monthly consumption</x:v>
      </x:c>
      <x:c r="D6" s="19" t="str">
        <x:v>site_id; period_start; period_end; mwh; actual_estimate; gross_net</x:v>
      </x:c>
      <x:c r="E6" s="19" t="str">
        <x:v>site-month</x:v>
      </x:c>
      <x:c r="F6" s="19" t="str">
        <x:v>36 months</x:v>
      </x:c>
      <x:c r="G6" s="19" t="str">
        <x:v>Client Confidential</x:v>
      </x:c>
      <x:c r="H6" s="19" t="str">
        <x:v>Baseline and seasonality</x:v>
      </x:c>
      <x:c r="I6" s="19" t="str">
        <x:v>Facilities data owner — TBD</x:v>
      </x:c>
      <x:c r="J6" s="21"/>
      <x:c r="K6" s="19" t="str">
        <x:v>Received</x:v>
      </x:c>
      <x:c r="L6" s="19" t="str">
        <x:v>Pass with condition</x:v>
      </x:c>
      <x:c r="M6" s="19" t="str">
        <x:v>1.4; 1.5</x:v>
      </x:c>
      <x:c r="N6" s="19" t="str">
        <x:v>One demo period intentionally missing</x:v>
      </x:c>
    </x:row>
    <x:row r="7" ht="15" hidden="0" customHeight="1">
      <x:c r="A7" s="18" t="str">
        <x:v>DR-DEMO-003</x:v>
      </x:c>
      <x:c r="B7" s="18" t="str">
        <x:v>Forecast</x:v>
      </x:c>
      <x:c r="C7" s="18" t="str">
        <x:v>SYNTHETIC demand forecast</x:v>
      </x:c>
      <x:c r="D7" s="18" t="str">
        <x:v>site_id; year; scenario; mwh; version; owner</x:v>
      </x:c>
      <x:c r="E7" s="18" t="str">
        <x:v>site-year-scenario</x:v>
      </x:c>
      <x:c r="F7" s="18" t="str">
        <x:v>target horizon</x:v>
      </x:c>
      <x:c r="G7" s="18" t="str">
        <x:v>Client Confidential</x:v>
      </x:c>
      <x:c r="H7" s="18" t="str">
        <x:v>Target-year gap and sensitivity</x:v>
      </x:c>
      <x:c r="I7" s="18" t="str">
        <x:v>Finance / Facilities — TBD</x:v>
      </x:c>
      <x:c r="J7" s="20"/>
      <x:c r="K7" s="18" t="str">
        <x:v>In Progress</x:v>
      </x:c>
      <x:c r="L7" s="18" t="str">
        <x:v>Not tested</x:v>
      </x:c>
      <x:c r="M7" s="18" t="str">
        <x:v>1.4; 1.5; 1.6</x:v>
      </x:c>
      <x:c r="N7" s="18" t="str">
        <x:v>Demo only</x:v>
      </x:c>
    </x:row>
    <x:row r="8" ht="15" hidden="0" customHeight="1">
      <x:c r="A8" s="19" t="str">
        <x:v>DR-DEMO-004</x:v>
      </x:c>
      <x:c r="B8" s="19" t="str">
        <x:v>Target / policy</x:v>
      </x:c>
      <x:c r="C8" s="19" t="str">
        <x:v>Target boundary and eligible instrument policy</x:v>
      </x:c>
      <x:c r="D8" s="19" t="str">
        <x:v>boundary; target_year; target_pct; eligibility; evidence_owner</x:v>
      </x:c>
      <x:c r="E8" s="19" t="str">
        <x:v>policy version</x:v>
      </x:c>
      <x:c r="F8" s="19" t="str">
        <x:v>target horizon</x:v>
      </x:c>
      <x:c r="G8" s="19" t="str">
        <x:v>Client Confidential</x:v>
      </x:c>
      <x:c r="H8" s="19" t="str">
        <x:v>Numerator / denominator and option eligibility</x:v>
      </x:c>
      <x:c r="I8" s="19" t="str">
        <x:v>Sustainability owner — TBD</x:v>
      </x:c>
      <x:c r="J8" s="21"/>
      <x:c r="K8" s="19" t="str">
        <x:v>Requested</x:v>
      </x:c>
      <x:c r="L8" s="19" t="str">
        <x:v>Not tested</x:v>
      </x:c>
      <x:c r="M8" s="19" t="str">
        <x:v>1.4; 1.5; 1.6</x:v>
      </x:c>
      <x:c r="N8" s="19" t="str">
        <x:v>TBD WITH CLIENT</x:v>
      </x:c>
    </x:row>
    <x:row r="9" ht="15" hidden="0" customHeight="1">
      <x:c r="A9" s="18" t="str">
        <x:v>DR-DEMO-005</x:v>
      </x:c>
      <x:c r="B9" s="18" t="str">
        <x:v>Existing procurement</x:v>
      </x:c>
      <x:c r="C9" s="18" t="str">
        <x:v>SYNTHETIC contract / certificate summary</x:v>
      </x:c>
      <x:c r="D9" s="18" t="str">
        <x:v>instrument_id; start; end; mwh; technology; allocation; certificate_treatment</x:v>
      </x:c>
      <x:c r="E9" s="18" t="str">
        <x:v>instrument-year-site</x:v>
      </x:c>
      <x:c r="F9" s="18" t="str">
        <x:v>contract life</x:v>
      </x:c>
      <x:c r="G9" s="18" t="str">
        <x:v>Highly Restricted</x:v>
      </x:c>
      <x:c r="H9" s="18" t="str">
        <x:v>Existing coverage and expiry</x:v>
      </x:c>
      <x:c r="I9" s="18" t="str">
        <x:v>Procurement — TBD</x:v>
      </x:c>
      <x:c r="J9" s="20"/>
      <x:c r="K9" s="18" t="str">
        <x:v>Requested</x:v>
      </x:c>
      <x:c r="L9" s="18" t="str">
        <x:v>Not tested</x:v>
      </x:c>
      <x:c r="M9" s="18" t="str">
        <x:v>1.4; 1.5; 3.x</x:v>
      </x:c>
      <x:c r="N9" s="18" t="str">
        <x:v>Need-to-know</x:v>
      </x:c>
    </x:row>
    <x:row r="10" ht="15" hidden="0" customHeight="1">
      <x:c r="A10" s="19" t="str">
        <x:v>DR-DEMO-006</x:v>
      </x:c>
      <x:c r="B10" s="19" t="str">
        <x:v>Commercial</x:v>
      </x:c>
      <x:c r="C10" s="19" t="str">
        <x:v>SYNTHETIC electricity cost components</x:v>
      </x:c>
      <x:c r="D10" s="19" t="str">
        <x:v>site_id; period; component; amount; currency; unit</x:v>
      </x:c>
      <x:c r="E10" s="19" t="str">
        <x:v>site-month-component</x:v>
      </x:c>
      <x:c r="F10" s="19" t="str">
        <x:v>24 months</x:v>
      </x:c>
      <x:c r="G10" s="19" t="str">
        <x:v>Highly Restricted</x:v>
      </x:c>
      <x:c r="H10" s="19" t="str">
        <x:v>Cost baseline and scenario comparison</x:v>
      </x:c>
      <x:c r="I10" s="19" t="str">
        <x:v>Finance — TBD</x:v>
      </x:c>
      <x:c r="J10" s="21"/>
      <x:c r="K10" s="19" t="str">
        <x:v>Not Available</x:v>
      </x:c>
      <x:c r="L10" s="19" t="str">
        <x:v>Not tested</x:v>
      </x:c>
      <x:c r="M10" s="19" t="str">
        <x:v>1.5; 3.1</x:v>
      </x:c>
      <x:c r="N10" s="19" t="str">
        <x:v>Assess range / re-scope</x:v>
      </x:c>
    </x:row>
  </x:sheetData>
  <x:dataValidations count="2">
    <x:dataValidation type="list" sqref="K5:K10">
      <x:formula1>"Requested,In Progress,Received,Accepted,Superseded,Not Available"</x:formula1>
    </x:dataValidation>
    <x:dataValidation type="list" sqref="L5:L10">
      <x:formula1>"Pass,Pass with condition,Fail,Not tested"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da3bb56db64c2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18" hidden="0" customWidth="1"/>
    <x:col min="4" max="4" width="14" hidden="0" customWidth="1"/>
    <x:col min="5" max="5" width="14" hidden="0" customWidth="1"/>
    <x:col min="6" max="6" width="42" hidden="0" customWidth="1"/>
    <x:col min="7" max="7" width="40" hidden="0" customWidth="1"/>
    <x:col min="8" max="8" width="24" hidden="0" customWidth="1"/>
  </x:cols>
  <x:sheetData>
    <x:row r="1" ht="8" customHeight="1"/>
    <x:row r="2" ht="15" hidden="0" customHeight="1">
      <x:c r="A2" s="28" t="str">
        <x:v>Data completeness and G1 readiness</x:v>
      </x:c>
      <x:c r="B2" s="29"/>
      <x:c r="C2" s="29"/>
      <x:c r="D2" s="29"/>
      <x:c r="E2" s="29"/>
      <x:c r="F2" s="29"/>
      <x:c r="G2" s="29"/>
      <x:c r="H2" s="29"/>
      <x:c r="I2" s="29"/>
      <x:c r="J2" s="29"/>
    </x:row>
    <x:row r="3" ht="15" hidden="0" customHeight="1">
      <x:c r="A3" s="30"/>
      <x:c r="B3" s="30"/>
      <x:c r="C3" s="30"/>
      <x:c r="D3" s="30"/>
      <x:c r="E3" s="30"/>
      <x:c r="F3" s="30"/>
      <x:c r="G3" s="30"/>
      <x:c r="H3" s="30"/>
      <x:c r="I3" s="30"/>
      <x:c r="J3" s="30"/>
    </x:row>
    <x:row r="4" ht="15" hidden="0" customHeight="1">
      <x:c r="A4" s="33" t="str">
        <x:v>Metric</x:v>
      </x:c>
      <x:c r="B4" s="33" t="str">
        <x:v>Value</x:v>
      </x:c>
      <x:c r="C4" s="29"/>
      <x:c r="D4" s="29"/>
      <x:c r="E4" s="29"/>
      <x:c r="F4" s="29"/>
      <x:c r="G4" s="29"/>
      <x:c r="H4" s="29"/>
      <x:c r="I4" s="29"/>
      <x:c r="J4" s="29"/>
    </x:row>
    <x:row r="5" ht="15" hidden="0" customHeight="1">
      <x:c r="A5" s="34" t="str">
        <x:v>Total requests</x:v>
      </x:c>
      <x:c r="B5" s="35" t="n">
        <x:f>COUNTA('Request Log'!$A$5:$A$10)</x:f>
        <x:v>6</x:v>
      </x:c>
      <x:c r="C5" s="29"/>
      <x:c r="D5" s="29"/>
      <x:c r="E5" s="29"/>
      <x:c r="F5" s="29"/>
      <x:c r="G5" s="29"/>
      <x:c r="H5" s="29"/>
      <x:c r="I5" s="29"/>
      <x:c r="J5" s="29"/>
    </x:row>
    <x:row r="6" ht="15" hidden="0" customHeight="1">
      <x:c r="A6" s="34" t="str">
        <x:v>Received / accepted</x:v>
      </x:c>
      <x:c r="B6" s="35" t="n">
        <x:f>COUNTIF('Request Log'!$K$5:$K$10,"Received")+COUNTIF('Request Log'!$K$5:$K$10,"Accepted")</x:f>
        <x:v>1</x:v>
      </x:c>
      <x:c r="C6" s="29"/>
      <x:c r="D6" s="29"/>
      <x:c r="E6" s="29"/>
      <x:c r="F6" s="29"/>
      <x:c r="G6" s="29"/>
      <x:c r="H6" s="29"/>
      <x:c r="I6" s="29"/>
      <x:c r="J6" s="29"/>
    </x:row>
    <x:row r="7" ht="15" hidden="0" customHeight="1">
      <x:c r="A7" s="34" t="str">
        <x:v>Completion ratio</x:v>
      </x:c>
      <x:c r="B7" s="36" t="n">
        <x:f>IF(B5=0,0,B6/B5)</x:f>
        <x:v>0.16666666666666666</x:v>
      </x:c>
      <x:c r="C7" s="29"/>
      <x:c r="D7" s="29"/>
      <x:c r="E7" s="29"/>
      <x:c r="F7" s="29"/>
      <x:c r="G7" s="29"/>
      <x:c r="H7" s="29"/>
      <x:c r="I7" s="29"/>
      <x:c r="J7" s="29"/>
    </x:row>
    <x:row r="8" ht="15" hidden="0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</x:row>
    <x:row r="9" ht="15" hidden="0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</x:row>
    <x:row r="10" ht="15" hidden="0" customHeight="1">
      <x:c r="A10" s="14" t="str">
        <x:v>Category</x:v>
      </x:c>
      <x:c r="B10" s="14" t="str">
        <x:v>Requests</x:v>
      </x:c>
      <x:c r="C10" s="14" t="str">
        <x:v>Received / accepted</x:v>
      </x:c>
      <x:c r="D10" s="14" t="str">
        <x:v>Coverage</x:v>
      </x:c>
      <x:c r="E10" s="14" t="str">
        <x:v>Materiality</x:v>
      </x:c>
      <x:c r="F10" s="14" t="str">
        <x:v>Default treatment</x:v>
      </x:c>
      <x:c r="G10" s="14" t="str">
        <x:v>G1 implication</x:v>
      </x:c>
      <x:c r="H10" s="14" t="str">
        <x:v>Truth status</x:v>
      </x:c>
      <x:c r="I10" s="29"/>
      <x:c r="J10" s="29"/>
    </x:row>
    <x:row r="11" ht="15" hidden="0" customHeight="1">
      <x:c r="A11" s="18" t="str">
        <x:v>Site / meter</x:v>
      </x:c>
      <x:c r="B11" s="18" t="n">
        <x:f>COUNTIF('Request Log'!$B$5:$B$10,A11)</x:f>
        <x:v>1</x:v>
      </x:c>
      <x:c r="C11" s="18" t="n">
        <x:f>COUNTIFS('Request Log'!$B$5:$B$10,A11,'Request Log'!$K$5:$K$10,"Received")+COUNTIFS('Request Log'!$B$5:$B$10,A11,'Request Log'!$K$5:$K$10,"Accepted")</x:f>
        <x:v>0</x:v>
      </x:c>
      <x:c r="D11" s="26" t="n">
        <x:f>IF(B11=0,0,C11/B11)</x:f>
        <x:v>0</x:v>
      </x:c>
      <x:c r="E11" s="18" t="str">
        <x:v>Critical</x:v>
      </x:c>
      <x:c r="F11" s="18" t="str">
        <x:v>Resolve mapping before baseline</x:v>
      </x:c>
      <x:c r="G11" s="18" t="str">
        <x:v>Condition G1 until resolved / approved</x:v>
      </x:c>
      <x:c r="H11" s="18" t="str">
        <x:v>SYNTHETIC / DEMO DATA</x:v>
      </x:c>
      <x:c r="I11" s="29"/>
      <x:c r="J11" s="29"/>
    </x:row>
    <x:row r="12" ht="15" hidden="0" customHeight="1">
      <x:c r="A12" s="19" t="str">
        <x:v>Consumption</x:v>
      </x:c>
      <x:c r="B12" s="19" t="n">
        <x:f>COUNTIF('Request Log'!$B$5:$B$10,A12)</x:f>
        <x:v>1</x:v>
      </x:c>
      <x:c r="C12" s="19" t="n">
        <x:f>COUNTIFS('Request Log'!$B$5:$B$10,A12,'Request Log'!$K$5:$K$10,"Received")+COUNTIFS('Request Log'!$B$5:$B$10,A12,'Request Log'!$K$5:$K$10,"Accepted")</x:f>
        <x:v>1</x:v>
      </x:c>
      <x:c r="D12" s="27" t="n">
        <x:f>IF(B12=0,0,C12/B12)</x:f>
        <x:v>1</x:v>
      </x:c>
      <x:c r="E12" s="19" t="str">
        <x:v>Critical</x:v>
      </x:c>
      <x:c r="F12" s="19" t="str">
        <x:v>Quantify missing periods; range if minor</x:v>
      </x:c>
      <x:c r="G12" s="19" t="str">
        <x:v>Condition G1 until resolved / approved</x:v>
      </x:c>
      <x:c r="H12" s="19" t="str">
        <x:v>SYNTHETIC / DEMO DATA</x:v>
      </x:c>
      <x:c r="I12" s="29"/>
      <x:c r="J12" s="29"/>
    </x:row>
    <x:row r="13" ht="15" hidden="0" customHeight="1">
      <x:c r="A13" s="18" t="str">
        <x:v>Forecast</x:v>
      </x:c>
      <x:c r="B13" s="18" t="n">
        <x:f>COUNTIF('Request Log'!$B$5:$B$10,A13)</x:f>
        <x:v>1</x:v>
      </x:c>
      <x:c r="C13" s="18" t="n">
        <x:f>COUNTIFS('Request Log'!$B$5:$B$10,A13,'Request Log'!$K$5:$K$10,"Received")+COUNTIFS('Request Log'!$B$5:$B$10,A13,'Request Log'!$K$5:$K$10,"Accepted")</x:f>
        <x:v>0</x:v>
      </x:c>
      <x:c r="D13" s="26" t="n">
        <x:f>IF(B13=0,0,C13/B13)</x:f>
        <x:v>0</x:v>
      </x:c>
      <x:c r="E13" s="18" t="str">
        <x:v>High</x:v>
      </x:c>
      <x:c r="F13" s="18" t="str">
        <x:v>Use approved scenario range</x:v>
      </x:c>
      <x:c r="G13" s="18" t="str">
        <x:v>Condition G1 until resolved / approved</x:v>
      </x:c>
      <x:c r="H13" s="18" t="str">
        <x:v>SYNTHETIC / DEMO DATA</x:v>
      </x:c>
      <x:c r="I13" s="29"/>
      <x:c r="J13" s="29"/>
    </x:row>
    <x:row r="14" ht="15" hidden="0" customHeight="1">
      <x:c r="A14" s="19" t="str">
        <x:v>Target / policy</x:v>
      </x:c>
      <x:c r="B14" s="19" t="n">
        <x:f>COUNTIF('Request Log'!$B$5:$B$10,A14)</x:f>
        <x:v>1</x:v>
      </x:c>
      <x:c r="C14" s="19" t="n">
        <x:f>COUNTIFS('Request Log'!$B$5:$B$10,A14,'Request Log'!$K$5:$K$10,"Received")+COUNTIFS('Request Log'!$B$5:$B$10,A14,'Request Log'!$K$5:$K$10,"Accepted")</x:f>
        <x:v>0</x:v>
      </x:c>
      <x:c r="D14" s="27" t="n">
        <x:f>IF(B14=0,0,C14/B14)</x:f>
        <x:v>0</x:v>
      </x:c>
      <x:c r="E14" s="19" t="str">
        <x:v>Critical</x:v>
      </x:c>
      <x:c r="F14" s="19" t="str">
        <x:v>Cannot proceed without owner-approved definition</x:v>
      </x:c>
      <x:c r="G14" s="19" t="str">
        <x:v>Condition G1 until resolved / approved</x:v>
      </x:c>
      <x:c r="H14" s="19" t="str">
        <x:v>SYNTHETIC / DEMO DATA</x:v>
      </x:c>
      <x:c r="I14" s="29"/>
      <x:c r="J14" s="29"/>
    </x:row>
    <x:row r="15" ht="15" hidden="0" customHeight="1">
      <x:c r="A15" s="18" t="str">
        <x:v>Existing procurement</x:v>
      </x:c>
      <x:c r="B15" s="18" t="n">
        <x:f>COUNTIF('Request Log'!$B$5:$B$10,A15)</x:f>
        <x:v>1</x:v>
      </x:c>
      <x:c r="C15" s="18" t="n">
        <x:f>COUNTIFS('Request Log'!$B$5:$B$10,A15,'Request Log'!$K$5:$K$10,"Received")+COUNTIFS('Request Log'!$B$5:$B$10,A15,'Request Log'!$K$5:$K$10,"Accepted")</x:f>
        <x:v>0</x:v>
      </x:c>
      <x:c r="D15" s="26" t="n">
        <x:f>IF(B15=0,0,C15/B15)</x:f>
        <x:v>0</x:v>
      </x:c>
      <x:c r="E15" s="18" t="str">
        <x:v>Critical</x:v>
      </x:c>
      <x:c r="F15" s="18" t="str">
        <x:v>Separate contracted / expected / eligible</x:v>
      </x:c>
      <x:c r="G15" s="18" t="str">
        <x:v>Condition G1 until resolved / approved</x:v>
      </x:c>
      <x:c r="H15" s="18" t="str">
        <x:v>SYNTHETIC / DEMO DATA</x:v>
      </x:c>
      <x:c r="I15" s="29"/>
      <x:c r="J15" s="29"/>
    </x:row>
    <x:row r="16" ht="15" hidden="0" customHeight="1">
      <x:c r="A16" s="19" t="str">
        <x:v>Commercial</x:v>
      </x:c>
      <x:c r="B16" s="19" t="n">
        <x:f>COUNTIF('Request Log'!$B$5:$B$10,A16)</x:f>
        <x:v>1</x:v>
      </x:c>
      <x:c r="C16" s="19" t="n">
        <x:f>COUNTIFS('Request Log'!$B$5:$B$10,A16,'Request Log'!$K$5:$K$10,"Received")+COUNTIFS('Request Log'!$B$5:$B$10,A16,'Request Log'!$K$5:$K$10,"Accepted")</x:f>
        <x:v>0</x:v>
      </x:c>
      <x:c r="D16" s="27" t="n">
        <x:f>IF(B16=0,0,C16/B16)</x:f>
        <x:v>0</x:v>
      </x:c>
      <x:c r="E16" s="19" t="str">
        <x:v>Medium</x:v>
      </x:c>
      <x:c r="F16" s="19" t="str">
        <x:v>Use component range or re-scope cost output</x:v>
      </x:c>
      <x:c r="G16" s="19" t="str">
        <x:v>Condition cost comparison only</x:v>
      </x:c>
      <x:c r="H16" s="19" t="str">
        <x:v>SYNTHETIC / DEMO DATA</x:v>
      </x:c>
      <x:c r="I16" s="29"/>
      <x:c r="J16" s="29"/>
    </x:row>
  </x:sheetData>
  <x:pageMargins left="0.7" right="0.7" top="0.75" bottom="0.75" header="0.3" footer="0.3"/>
  <x:tableParts count="1">
    <x:tablePart xmlns:r="http://schemas.openxmlformats.org/officeDocument/2006/relationships" r:id="Re021198eb018434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42" hidden="0" customWidth="1"/>
    <x:col min="4" max="4" width="26" hidden="0" customWidth="1"/>
    <x:col min="5" max="5" width="38" hidden="0" customWidth="1"/>
    <x:col min="6" max="6" width="28" hidden="0" customWidth="1"/>
    <x:col min="7" max="7" width="36" hidden="0" customWidth="1"/>
    <x:col min="8" max="8" width="26" hidden="0" customWidth="1"/>
    <x:col min="9" max="9" width="14" hidden="0" customWidth="1"/>
    <x:col min="10" max="10" width="14" hidden="0" customWidth="1"/>
    <x:col min="11" max="11" width="24" hidden="0" customWidth="1"/>
  </x:cols>
  <x:sheetData>
    <x:row r="1" ht="8" customHeight="1"/>
    <x:row r="2" ht="15" hidden="0" customHeight="1">
      <x:c r="A2" s="28" t="str">
        <x:v>Data gap and assumption treatment log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</x:row>
    <x:row r="3" ht="15" hidden="0" customHeight="1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</x:row>
    <x:row r="4" ht="15" hidden="0" customHeight="1">
      <x:c r="A4" s="14" t="str">
        <x:v>Gap ID</x:v>
      </x:c>
      <x:c r="B4" s="14" t="str">
        <x:v>Request ID</x:v>
      </x:c>
      <x:c r="C4" s="14" t="str">
        <x:v>Gap / quality issue</x:v>
      </x:c>
      <x:c r="D4" s="14" t="str">
        <x:v>Affected period / rows</x:v>
      </x:c>
      <x:c r="E4" s="14" t="str">
        <x:v>Decision impact</x:v>
      </x:c>
      <x:c r="F4" s="14" t="str">
        <x:v>Impact range</x:v>
      </x:c>
      <x:c r="G4" s="14" t="str">
        <x:v>Treatment</x:v>
      </x:c>
      <x:c r="H4" s="14" t="str">
        <x:v>Approval owner</x:v>
      </x:c>
      <x:c r="I4" s="14" t="str">
        <x:v>Due date</x:v>
      </x:c>
      <x:c r="J4" s="14" t="str">
        <x:v>Status</x:v>
      </x:c>
      <x:c r="K4" s="14" t="str">
        <x:v>Affected outputs</x:v>
      </x:c>
    </x:row>
    <x:row r="5" ht="15" hidden="0" customHeight="1">
      <x:c r="A5" s="18" t="str">
        <x:v>GAP-DEMO-001</x:v>
      </x:c>
      <x:c r="B5" s="18" t="str">
        <x:v>DR-DEMO-002</x:v>
      </x:c>
      <x:c r="C5" s="18" t="str">
        <x:v>SYNTHETIC one site-month is missing</x:v>
      </x:c>
      <x:c r="D5" s="18" t="str">
        <x:v>Site-D / 2025-02</x:v>
      </x:c>
      <x:c r="E5" s="18" t="str">
        <x:v>May understate baseline</x:v>
      </x:c>
      <x:c r="F5" s="18" t="str">
        <x:v>0–120 MWh demo range</x:v>
      </x:c>
      <x:c r="G5" s="18" t="str">
        <x:v>Use range pending source extract</x:v>
      </x:c>
      <x:c r="H5" s="18" t="str">
        <x:v>Facilities owner — TBD</x:v>
      </x:c>
      <x:c r="I5" s="20"/>
      <x:c r="J5" s="18" t="str">
        <x:v>Open</x:v>
      </x:c>
      <x:c r="K5" s="18" t="str">
        <x:v>1.4; 1.5</x:v>
      </x:c>
    </x:row>
    <x:row r="6" ht="15" hidden="0" customHeight="1">
      <x:c r="A6" s="19" t="str">
        <x:v>GAP-DEMO-002</x:v>
      </x:c>
      <x:c r="B6" s="19" t="str">
        <x:v>DR-DEMO-004</x:v>
      </x:c>
      <x:c r="C6" s="19" t="str">
        <x:v>Target eligibility definition not yet supplied</x:v>
      </x:c>
      <x:c r="D6" s="19" t="str">
        <x:v>All target years</x:v>
      </x:c>
      <x:c r="E6" s="19" t="str">
        <x:v>Could change residual gap and option eligibility</x:v>
      </x:c>
      <x:c r="F6" s="19" t="str">
        <x:v>Material / not quantifiable yet</x:v>
      </x:c>
      <x:c r="G6" s="19" t="str">
        <x:v>Resolve; do not assume silently</x:v>
      </x:c>
      <x:c r="H6" s="19" t="str">
        <x:v>Sustainability owner — TBD</x:v>
      </x:c>
      <x:c r="I6" s="21"/>
      <x:c r="J6" s="19" t="str">
        <x:v>Open</x:v>
      </x:c>
      <x:c r="K6" s="19" t="str">
        <x:v>1.4; 1.5; 1.6</x:v>
      </x:c>
    </x:row>
  </x:sheetData>
  <x:dataValidations count="1">
    <x:dataValidation type="list" sqref="J5:J6">
      <x:formula1>"Open,In Progress,Approved assumption,Closed,Re-scoped"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ddc46c62ff4bd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34" hidden="0" customWidth="1"/>
    <x:col min="4" max="4" width="52" hidden="0" customWidth="1"/>
    <x:col min="5" max="5" width="44" hidden="0" customWidth="1"/>
    <x:col min="6" max="6" width="20" hidden="0" customWidth="1"/>
    <x:col min="7" max="7" width="14" hidden="0" customWidth="1"/>
    <x:col min="8" max="8" width="34" hidden="0" customWidth="1"/>
    <x:col min="9" max="9" width="16" hidden="0" customWidth="1"/>
  </x:cols>
  <x:sheetData>
    <x:row r="1" ht="8" customHeight="1"/>
    <x:row r="2" ht="15" hidden="0" customHeight="1">
      <x:c r="A2" s="28" t="str">
        <x:v>Stakeholder interview plan</x:v>
      </x:c>
      <x:c r="B2" s="29"/>
      <x:c r="C2" s="29"/>
      <x:c r="D2" s="29"/>
      <x:c r="E2" s="29"/>
      <x:c r="F2" s="29"/>
      <x:c r="G2" s="29"/>
      <x:c r="H2" s="29"/>
      <x:c r="I2" s="29"/>
    </x:row>
    <x:row r="3" ht="15" hidden="0" customHeight="1">
      <x:c r="A3" s="30"/>
      <x:c r="B3" s="30"/>
      <x:c r="C3" s="30"/>
      <x:c r="D3" s="30"/>
      <x:c r="E3" s="30"/>
      <x:c r="F3" s="30"/>
      <x:c r="G3" s="30"/>
      <x:c r="H3" s="30"/>
      <x:c r="I3" s="30"/>
    </x:row>
    <x:row r="4" ht="15" hidden="0" customHeight="1">
      <x:c r="A4" s="14" t="str">
        <x:v>Interview ID</x:v>
      </x:c>
      <x:c r="B4" s="14" t="str">
        <x:v>Role hypothesis</x:v>
      </x:c>
      <x:c r="C4" s="14" t="str">
        <x:v>Objective</x:v>
      </x:c>
      <x:c r="D4" s="14" t="str">
        <x:v>Key questions</x:v>
      </x:c>
      <x:c r="E4" s="14" t="str">
        <x:v>Evidence requested</x:v>
      </x:c>
      <x:c r="F4" s="14" t="str">
        <x:v>Optimum owner</x:v>
      </x:c>
      <x:c r="G4" s="14" t="str">
        <x:v>Target date</x:v>
      </x:c>
      <x:c r="H4" s="14" t="str">
        <x:v>Output / decision</x:v>
      </x:c>
      <x:c r="I4" s="14" t="str">
        <x:v>Status</x:v>
      </x:c>
    </x:row>
    <x:row r="5" ht="15" hidden="0" customHeight="1">
      <x:c r="A5" s="18" t="str">
        <x:v>INT-DEMO-001</x:v>
      </x:c>
      <x:c r="B5" s="18" t="str">
        <x:v>Taiwan sustainability / RE100 owner</x:v>
      </x:c>
      <x:c r="C5" s="18" t="str">
        <x:v>Confirm target / claim boundary</x:v>
      </x:c>
      <x:c r="D5" s="18" t="str">
        <x:v>What policy version, boundary and evidence define success?</x:v>
      </x:c>
      <x:c r="E5" s="18" t="str">
        <x:v>Policy extract; target table; owner confirmation</x:v>
      </x:c>
      <x:c r="F5" s="18" t="str">
        <x:v>Project Lead</x:v>
      </x:c>
      <x:c r="G5" s="20"/>
      <x:c r="H5" s="18" t="str">
        <x:v>Approved calculation boundary</x:v>
      </x:c>
      <x:c r="I5" s="18" t="str">
        <x:v>Not Started</x:v>
      </x:c>
    </x:row>
    <x:row r="6" ht="15" hidden="0" customHeight="1">
      <x:c r="A6" s="19" t="str">
        <x:v>INT-DEMO-002</x:v>
      </x:c>
      <x:c r="B6" s="19" t="str">
        <x:v>Facilities / site data owner</x:v>
      </x:c>
      <x:c r="C6" s="19" t="str">
        <x:v>Confirm consumption lineage and forecast</x:v>
      </x:c>
      <x:c r="D6" s="19" t="str">
        <x:v>What systems, keys, estimates and site changes affect load?</x:v>
      </x:c>
      <x:c r="E6" s="19" t="str">
        <x:v>Site / meter map; reconciliation total; forecast version</x:v>
      </x:c>
      <x:c r="F6" s="19" t="str">
        <x:v>Data Lead</x:v>
      </x:c>
      <x:c r="G6" s="21"/>
      <x:c r="H6" s="19" t="str">
        <x:v>Data-quality treatment</x:v>
      </x:c>
      <x:c r="I6" s="19" t="str">
        <x:v>Not Started</x:v>
      </x:c>
    </x:row>
    <x:row r="7" ht="24" hidden="0" customHeight="1">
      <x:c r="A7" s="18" t="str">
        <x:v>INT-DEMO-003</x:v>
      </x:c>
      <x:c r="B7" s="18" t="str">
        <x:v>Procurement / Finance / Legal</x:v>
      </x:c>
      <x:c r="C7" s="18" t="str">
        <x:v>Confirm commercial data, approvals and disclosure</x:v>
      </x:c>
      <x:c r="D7" s="18" t="str">
        <x:v>What cost, approval, NDA and market-contact rules apply?</x:v>
      </x:c>
      <x:c r="E7" s="18" t="str">
        <x:v>Process map; authorization; cost components</x:v>
      </x:c>
      <x:c r="F7" s="18" t="str">
        <x:v>Project Lead</x:v>
      </x:c>
      <x:c r="G7" s="20"/>
      <x:c r="H7" s="18" t="str">
        <x:v>Roadmap / engagement constraints</x:v>
      </x:c>
      <x:c r="I7" s="18" t="str">
        <x:v>Not Started</x:v>
      </x:c>
    </x:row>
  </x:sheetData>
  <x:conditionalFormatting sqref="I5:I7">
    <x:cfRule type="containsText" dxfId="0" priority="1" operator="containsText" text="Blocked"/>
    <x:cfRule type="containsText" dxfId="1" priority="2" operator="containsText" text="Amber"/>
    <x:cfRule type="containsText" dxfId="2" priority="3" operator="containsText" text="QA Pass"/>
    <x:cfRule type="containsText" dxfId="3" priority="4" operator="containsText" text="Complete"/>
    <x:cfRule type="containsText" dxfId="4" priority="5" operator="containsText" text="Closed"/>
  </x:conditionalFormatting>
  <x:dataValidations count="1">
    <x:dataValidation type="list" sqref="I5:I7">
      <x:formula1>"Not Started,In Progress,Draft Complete,QA Pending,QA Pass,Blocked,Open,Closed,Complete,Deferred"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0dd7070b0f4e51"/>
  </x:tableParts>
</x:worksheet>
</file>