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2f874f767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vernance Summary" sheetId="1" r:id="R9aa09b8e8fa14d67"/>
    <x:sheet xmlns:r="http://schemas.openxmlformats.org/officeDocument/2006/relationships" name="Milestones" sheetId="2" r:id="Re67ec08321d146bd"/>
    <x:sheet xmlns:r="http://schemas.openxmlformats.org/officeDocument/2006/relationships" name="Delivery" sheetId="3" r:id="R04075c486a9c4d28"/>
    <x:sheet xmlns:r="http://schemas.openxmlformats.org/officeDocument/2006/relationships" name="Certificates" sheetId="4" r:id="Rf68aa3e3692741dc"/>
    <x:sheet xmlns:r="http://schemas.openxmlformats.org/officeDocument/2006/relationships" name="Reconciliation" sheetId="5" r:id="R2fb9098010fd4fdb"/>
    <x:sheet xmlns:r="http://schemas.openxmlformats.org/officeDocument/2006/relationships" name="Commercial Issues" sheetId="6" r:id="R47a7cf3039174318"/>
    <x:sheet xmlns:r="http://schemas.openxmlformats.org/officeDocument/2006/relationships" name="Periodic Report" sheetId="7" r:id="Rf439557d6a85430d"/>
    <x:sheet xmlns:r="http://schemas.openxmlformats.org/officeDocument/2006/relationships" name="BAU Transition" sheetId="8" r:id="R0fd8fba927e3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3d8143b3c4a01" /><Relationship Type="http://schemas.openxmlformats.org/officeDocument/2006/relationships/theme" Target="/xl/theme/theme1.xml" Id="Rf20acd5a758d4e7f" /><Relationship Type="http://schemas.openxmlformats.org/officeDocument/2006/relationships/sharedStrings" Target="/xl/sharedStrings.xml" Id="R2bd6d8c96aef45a1" /><Relationship Type="http://schemas.openxmlformats.org/officeDocument/2006/relationships/worksheet" Target="/xl/worksheets/sheet1.xml" Id="R9aa09b8e8fa14d67" /><Relationship Type="http://schemas.openxmlformats.org/officeDocument/2006/relationships/worksheet" Target="/xl/worksheets/sheet2.xml" Id="Re67ec08321d146bd" /><Relationship Type="http://schemas.openxmlformats.org/officeDocument/2006/relationships/worksheet" Target="/xl/worksheets/sheet3.xml" Id="R04075c486a9c4d28" /><Relationship Type="http://schemas.openxmlformats.org/officeDocument/2006/relationships/worksheet" Target="/xl/worksheets/sheet4.xml" Id="Rf68aa3e3692741dc" /><Relationship Type="http://schemas.openxmlformats.org/officeDocument/2006/relationships/worksheet" Target="/xl/worksheets/sheet5.xml" Id="R2fb9098010fd4fdb" /><Relationship Type="http://schemas.openxmlformats.org/officeDocument/2006/relationships/worksheet" Target="/xl/worksheets/sheet6.xml" Id="R47a7cf3039174318" /><Relationship Type="http://schemas.openxmlformats.org/officeDocument/2006/relationships/worksheet" Target="/xl/worksheets/sheet7.xml" Id="Rf439557d6a85430d" /><Relationship Type="http://schemas.openxmlformats.org/officeDocument/2006/relationships/worksheet" Target="/xl/worksheets/sheet8.xml" Id="R0fd8fba927e34f04" /></Relationships>
</file>

<file path=xl/tables/table1.xml><?xml version="1.0" encoding="utf-8"?>
<x:table xmlns:x="http://schemas.openxmlformats.org/spreadsheetml/2006/main" id="1" name="A36Governance" displayName="A36Governance" ref="A4:J9" headerRowCount="1" totalsRowCount="0" totalsRowShown="0">
  <x:tableColumns count="10">
    <x:tableColumn id="1" name="Control"/>
    <x:tableColumn id="2" name="Rule"/>
    <x:tableColumn id="3" name="Cadence"/>
    <x:tableColumn id="4" name="Responsible"/>
    <x:tableColumn id="5" name="Accountable"/>
    <x:tableColumn id="6" name="Evidence"/>
    <x:tableColumn id="7" name="Trigger"/>
    <x:tableColumn id="8" name="Escalation"/>
    <x:tableColumn id="9" name="Status"/>
    <x:tableColumn id="10" name="Trut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6Milestones" displayName="A36Milestones" ref="A4:K9" headerRowCount="1" totalsRowCount="0" totalsRowShown="0">
  <x:tableColumns count="11">
    <x:tableColumn id="1" name="Milestone ID"/>
    <x:tableColumn id="2" name="Milestone"/>
    <x:tableColumn id="3" name="Planned date"/>
    <x:tableColumn id="4" name="Forecast date"/>
    <x:tableColumn id="5" name="Actual date"/>
    <x:tableColumn id="6" name="Owner"/>
    <x:tableColumn id="7" name="Dependency"/>
    <x:tableColumn id="8" name="Evidence"/>
    <x:tableColumn id="9" name="RAG"/>
    <x:tableColumn id="10" name="Issue ID"/>
    <x:tableColumn id="11" name="Trut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36Delivery" displayName="A36Delivery" ref="A4:L6" headerRowCount="1" totalsRowCount="0" totalsRowShown="0">
  <x:tableColumns count="12">
    <x:tableColumn id="1" name="Period"/>
    <x:tableColumn id="2" name="Site / meter ID"/>
    <x:tableColumn id="3" name="Offer / route ID"/>
    <x:tableColumn id="4" name="Expected MWh"/>
    <x:tableColumn id="5" name="Actual MWh"/>
    <x:tableColumn id="6" name="Variance MWh"/>
    <x:tableColumn id="7" name="Variance %"/>
    <x:tableColumn id="8" name="Tolerance %"/>
    <x:tableColumn id="9" name="Status"/>
    <x:tableColumn id="10" name="Cause"/>
    <x:tableColumn id="11" name="Action"/>
    <x:tableColumn id="12" name="Truth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36Certificates" displayName="A36Certificates" ref="A4:L5" headerRowCount="1" totalsRowCount="0" totalsRowShown="0">
  <x:tableColumns count="12">
    <x:tableColumn id="1" name="Certificate record ID"/>
    <x:tableColumn id="2" name="Period"/>
    <x:tableColumn id="3" name="Offer / asset ID"/>
    <x:tableColumn id="4" name="Technology"/>
    <x:tableColumn id="5" name="MWh represented"/>
    <x:tableColumn id="6" name="Vintage"/>
    <x:tableColumn id="7" name="Serial / batch"/>
    <x:tableColumn id="8" name="Issued"/>
    <x:tableColumn id="9" name="Transferred"/>
    <x:tableColumn id="10" name="Retired / claimed"/>
    <x:tableColumn id="11" name="Eligibility check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36Reconciliation" displayName="A36Reconciliation" ref="A4:L6" headerRowCount="1" totalsRowCount="0" totalsRowShown="0">
  <x:tableColumns count="12">
    <x:tableColumn id="1" name="Period"/>
    <x:tableColumn id="2" name="Actual delivered MWh"/>
    <x:tableColumn id="3" name="Certificate MWh"/>
    <x:tableColumn id="4" name="Unmatched MWh"/>
    <x:tableColumn id="5" name="Energy rate NTD/MWh"/>
    <x:tableColumn id="6" name="Invoice energy NTD"/>
    <x:tableColumn id="7" name="Expected energy NTD"/>
    <x:tableColumn id="8" name="Variance NTD"/>
    <x:tableColumn id="9" name="Delivery status"/>
    <x:tableColumn id="10" name="Certificate status"/>
    <x:tableColumn id="11" name="Invoice status"/>
    <x:tableColumn id="12" name="Truth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36Issues" displayName="A36Issues" ref="A4:K6" headerRowCount="1" totalsRowCount="0" totalsRowShown="0">
  <x:tableColumns count="11">
    <x:tableColumn id="1" name="Issue ID"/>
    <x:tableColumn id="2" name="Period"/>
    <x:tableColumn id="3" name="Category"/>
    <x:tableColumn id="4" name="Description"/>
    <x:tableColumn id="5" name="Contract reference"/>
    <x:tableColumn id="6" name="Evidence"/>
    <x:tableColumn id="7" name="Commercial impact"/>
    <x:tableColumn id="8" name="Owner"/>
    <x:tableColumn id="9" name="Due"/>
    <x:tableColumn id="10" name="Status"/>
    <x:tableColumn id="11" name="Remedy / deci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36Report" displayName="A36Report" ref="A4:J8" headerRowCount="1" totalsRowCount="0" totalsRowShown="0">
  <x:tableColumns count="10">
    <x:tableColumn id="1" name="Section"/>
    <x:tableColumn id="2" name="Metric / message"/>
    <x:tableColumn id="3" name="Current"/>
    <x:tableColumn id="4" name="Prior"/>
    <x:tableColumn id="5" name="Trend / RAG"/>
    <x:tableColumn id="6" name="Evidence"/>
    <x:tableColumn id="7" name="Decision / action"/>
    <x:tableColumn id="8" name="Owner"/>
    <x:tableColumn id="9" name="Due"/>
    <x:tableColumn id="10" name="Truth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36BAU" displayName="A36BAU" ref="A4:J9" headerRowCount="1" totalsRowCount="0" totalsRowShown="0">
  <x:tableColumns count="10">
    <x:tableColumn id="1" name="Criterion"/>
    <x:tableColumn id="2" name="Required evidence"/>
    <x:tableColumn id="3" name="Minimum stable cycles"/>
    <x:tableColumn id="4" name="Current evidence"/>
    <x:tableColumn id="5" name="Owner"/>
    <x:tableColumn id="6" name="Accepting authority"/>
    <x:tableColumn id="7" name="Ready?"/>
    <x:tableColumn id="8" name="Residual issue"/>
    <x:tableColumn id="9" name="Next action"/>
    <x:tableColumn id="10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080325fcad49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f87c7c1d80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f52874505c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82c0caa26c4a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0fcf8cec1e449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ca0bfdcac24b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b6ee29ee304a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de5966273a94c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6" hidden="0" customWidth="1"/>
    <x:col min="3" max="3" width="24" hidden="0" customWidth="1"/>
    <x:col min="4" max="4" width="30" hidden="0" customWidth="1"/>
    <x:col min="5" max="5" width="30" hidden="0" customWidth="1"/>
    <x:col min="6" max="6" width="36" hidden="0" customWidth="1"/>
    <x:col min="7" max="7" width="30" hidden="0" customWidth="1"/>
    <x:col min="8" max="8" width="30" hidden="0" customWidth="1"/>
    <x:col min="9" max="9" width="16" hidden="0" customWidth="1"/>
    <x:col min="10" max="10" width="26" hidden="0" customWidth="1"/>
  </x:cols>
  <x:sheetData>
    <x:row r="2" ht="15" hidden="0" customHeight="1">
      <x:c r="A2" s="18" t="str">
        <x:v>Execution governance and lineage controls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 ht="15" hidden="0" customHeight="1">
      <x:c r="A4" s="21" t="str">
        <x:v>Control</x:v>
      </x:c>
      <x:c r="B4" s="21" t="str">
        <x:v>Rule</x:v>
      </x:c>
      <x:c r="C4" s="21" t="str">
        <x:v>Cadence</x:v>
      </x:c>
      <x:c r="D4" s="21" t="str">
        <x:v>Responsible</x:v>
      </x:c>
      <x:c r="E4" s="21" t="str">
        <x:v>Accountable</x:v>
      </x:c>
      <x:c r="F4" s="21" t="str">
        <x:v>Evidence</x:v>
      </x:c>
      <x:c r="G4" s="21" t="str">
        <x:v>Trigger</x:v>
      </x:c>
      <x:c r="H4" s="21" t="str">
        <x:v>Escalation</x:v>
      </x:c>
      <x:c r="I4" s="21" t="str">
        <x:v>Status</x:v>
      </x:c>
      <x:c r="J4" s="21" t="str">
        <x:v>Truth status</x:v>
      </x:c>
    </x:row>
    <x:row r="5" ht="15" hidden="0" customHeight="1">
      <x:c r="A5" s="11" t="str">
        <x:v>Source of truth</x:v>
      </x:c>
      <x:c r="B5" s="11" t="str">
        <x:v>Use signed contract + controlled schedules only</x:v>
      </x:c>
      <x:c r="C5" s="11" t="str">
        <x:v>Continuous</x:v>
      </x:c>
      <x:c r="D5" s="11" t="str">
        <x:v>Contract owner — TBD</x:v>
      </x:c>
      <x:c r="E5" s="11" t="str">
        <x:v>Business owner — TBD</x:v>
      </x:c>
      <x:c r="F5" s="11" t="str">
        <x:v>Document version ID</x:v>
      </x:c>
      <x:c r="G5" s="11" t="str">
        <x:v>Mismatch</x:v>
      </x:c>
      <x:c r="H5" s="11" t="str">
        <x:v>Legal / Procurement</x:v>
      </x:c>
      <x:c r="I5" s="11" t="str">
        <x:v>Open</x:v>
      </x:c>
      <x:c r="J5" s="11" t="str">
        <x:v>TBD WITH CLIENT</x:v>
      </x:c>
    </x:row>
    <x:row r="6" ht="15" hidden="0" customHeight="1">
      <x:c r="A6" s="12" t="str">
        <x:v>Delivery review</x:v>
      </x:c>
      <x:c r="B6" s="12" t="str">
        <x:v>Compare expected vs actual by site / offer / period</x:v>
      </x:c>
      <x:c r="C6" s="12" t="str">
        <x:v>Monthly / TBD</x:v>
      </x:c>
      <x:c r="D6" s="12" t="str">
        <x:v>Analyst — TBD</x:v>
      </x:c>
      <x:c r="E6" s="12" t="str">
        <x:v>Implementation Lead — TBD</x:v>
      </x:c>
      <x:c r="F6" s="12" t="str">
        <x:v>Meter + supplier data</x:v>
      </x:c>
      <x:c r="G6" s="12" t="str">
        <x:v>Tolerance breach</x:v>
      </x:c>
      <x:c r="H6" s="12" t="str">
        <x:v>Supplier / Facilities</x:v>
      </x:c>
      <x:c r="I6" s="12" t="str">
        <x:v>Draft</x:v>
      </x:c>
      <x:c r="J6" s="12" t="str">
        <x:v>HYPOTHESIS</x:v>
      </x:c>
    </x:row>
    <x:row r="7" ht="15" hidden="0" customHeight="1">
      <x:c r="A7" s="11" t="str">
        <x:v>Certificate review</x:v>
      </x:c>
      <x:c r="B7" s="11" t="str">
        <x:v>Trace issuance, transfer, retirement and replacement</x:v>
      </x:c>
      <x:c r="C7" s="11" t="str">
        <x:v>Monthly / annual TBD</x:v>
      </x:c>
      <x:c r="D7" s="11" t="str">
        <x:v>Sustainability — TBD</x:v>
      </x:c>
      <x:c r="E7" s="11" t="str">
        <x:v>RE100 owner — TBD</x:v>
      </x:c>
      <x:c r="F7" s="11" t="str">
        <x:v>Registry evidence</x:v>
      </x:c>
      <x:c r="G7" s="11" t="str">
        <x:v>Late / invalid / duplicate</x:v>
      </x:c>
      <x:c r="H7" s="11" t="str">
        <x:v>Legal / supplier</x:v>
      </x:c>
      <x:c r="I7" s="11" t="str">
        <x:v>Draft</x:v>
      </x:c>
      <x:c r="J7" s="11" t="str">
        <x:v>HYPOTHESIS</x:v>
      </x:c>
    </x:row>
    <x:row r="8" ht="15" hidden="0" customHeight="1">
      <x:c r="A8" s="12" t="str">
        <x:v>Commercial review</x:v>
      </x:c>
      <x:c r="B8" s="12" t="str">
        <x:v>Reconcile invoice to contract components</x:v>
      </x:c>
      <x:c r="C8" s="12" t="str">
        <x:v>Billing cycle</x:v>
      </x:c>
      <x:c r="D8" s="12" t="str">
        <x:v>Finance — TBD</x:v>
      </x:c>
      <x:c r="E8" s="12" t="str">
        <x:v>Finance owner — TBD</x:v>
      </x:c>
      <x:c r="F8" s="12" t="str">
        <x:v>Invoice + formula</x:v>
      </x:c>
      <x:c r="G8" s="12" t="str">
        <x:v>Variance / dispute</x:v>
      </x:c>
      <x:c r="H8" s="12" t="str">
        <x:v>Commercial Lead</x:v>
      </x:c>
      <x:c r="I8" s="12" t="str">
        <x:v>Draft</x:v>
      </x:c>
      <x:c r="J8" s="12" t="str">
        <x:v>HYPOTHESIS</x:v>
      </x:c>
    </x:row>
    <x:row r="9" ht="15" hidden="0" customHeight="1">
      <x:c r="A9" s="11" t="str">
        <x:v>BAU handoff</x:v>
      </x:c>
      <x:c r="B9" s="11" t="str">
        <x:v>Exit only after stable cycles and accepted SOP</x:v>
      </x:c>
      <x:c r="C9" s="11" t="str">
        <x:v>Gate G11</x:v>
      </x:c>
      <x:c r="D9" s="11" t="str">
        <x:v>Implementation Lead</x:v>
      </x:c>
      <x:c r="E9" s="11" t="str">
        <x:v>Business owner — TBD</x:v>
      </x:c>
      <x:c r="F9" s="11" t="str">
        <x:v>Acceptance record</x:v>
      </x:c>
      <x:c r="G9" s="11" t="str">
        <x:v>Owner / control missing</x:v>
      </x:c>
      <x:c r="H9" s="11" t="str">
        <x:v>Sponsor</x:v>
      </x:c>
      <x:c r="I9" s="11" t="str">
        <x:v>Open</x:v>
      </x:c>
      <x:c r="J9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65080325fcad49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34" hidden="0" customWidth="1"/>
    <x:col min="7" max="7" width="34" hidden="0" customWidth="1"/>
    <x:col min="8" max="8" width="34" hidden="0" customWidth="1"/>
    <x:col min="9" max="9" width="14" hidden="0" customWidth="1"/>
    <x:col min="10" max="10" width="18" hidden="0" customWidth="1"/>
    <x:col min="11" max="11" width="26" hidden="0" customWidth="1"/>
  </x:cols>
  <x:sheetData>
    <x:row r="2" ht="15" hidden="0" customHeight="1">
      <x:c r="A2" s="18" t="str">
        <x:v>Implementation milestones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 ht="15" hidden="0" customHeight="1">
      <x:c r="A4" s="21" t="str">
        <x:v>Milestone ID</x:v>
      </x:c>
      <x:c r="B4" s="21" t="str">
        <x:v>Milestone</x:v>
      </x:c>
      <x:c r="C4" s="21" t="str">
        <x:v>Planned date</x:v>
      </x:c>
      <x:c r="D4" s="21" t="str">
        <x:v>Forecast date</x:v>
      </x:c>
      <x:c r="E4" s="21" t="str">
        <x:v>Actual date</x:v>
      </x:c>
      <x:c r="F4" s="21" t="str">
        <x:v>Owner</x:v>
      </x:c>
      <x:c r="G4" s="21" t="str">
        <x:v>Dependency</x:v>
      </x:c>
      <x:c r="H4" s="21" t="str">
        <x:v>Evidence</x:v>
      </x:c>
      <x:c r="I4" s="21" t="str">
        <x:v>RAG</x:v>
      </x:c>
      <x:c r="J4" s="21" t="str">
        <x:v>Issue ID</x:v>
      </x:c>
      <x:c r="K4" s="21" t="str">
        <x:v>Truth status</x:v>
      </x:c>
    </x:row>
    <x:row r="5" ht="15" hidden="0" customHeight="1">
      <x:c r="A5" s="11" t="str">
        <x:v>M36-01</x:v>
      </x:c>
      <x:c r="B5" s="11" t="str">
        <x:v>Implementation kickoff</x:v>
      </x:c>
      <x:c r="C5" s="11" t="str">
        <x:v>TBD</x:v>
      </x:c>
      <x:c r="D5" s="11" t="str">
        <x:v>TBD</x:v>
      </x:c>
      <x:c r="E5" s="11" t="str"/>
      <x:c r="F5" s="11" t="str">
        <x:v>Implementation Lead — TBD</x:v>
      </x:c>
      <x:c r="G5" s="11" t="str">
        <x:v>Signed / effective</x:v>
      </x:c>
      <x:c r="H5" s="11" t="str">
        <x:v>Kickoff minutes</x:v>
      </x:c>
      <x:c r="I5" s="11" t="str">
        <x:v>Gray</x:v>
      </x:c>
      <x:c r="J5" s="11" t="str"/>
      <x:c r="K5" s="11" t="str">
        <x:v>TBD WITH CLIENT</x:v>
      </x:c>
    </x:row>
    <x:row r="6" ht="15" hidden="0" customHeight="1">
      <x:c r="A6" s="12" t="str">
        <x:v>M36-02</x:v>
      </x:c>
      <x:c r="B6" s="12" t="str">
        <x:v>Wheeling / meter ready</x:v>
      </x:c>
      <x:c r="C6" s="12" t="str">
        <x:v>TBD</x:v>
      </x:c>
      <x:c r="D6" s="12" t="str">
        <x:v>TBD</x:v>
      </x:c>
      <x:c r="E6" s="12" t="str"/>
      <x:c r="F6" s="12" t="str">
        <x:v>Facilities — TBD</x:v>
      </x:c>
      <x:c r="G6" s="12" t="str">
        <x:v>CP35-01 / RD35-01</x:v>
      </x:c>
      <x:c r="H6" s="12" t="str">
        <x:v>Approval + test</x:v>
      </x:c>
      <x:c r="I6" s="12" t="str">
        <x:v>Gray</x:v>
      </x:c>
      <x:c r="J6" s="12" t="str"/>
      <x:c r="K6" s="12" t="str">
        <x:v>TBD WITH CLIENT</x:v>
      </x:c>
    </x:row>
    <x:row r="7" ht="15" hidden="0" customHeight="1">
      <x:c r="A7" s="11" t="str">
        <x:v>M36-03</x:v>
      </x:c>
      <x:c r="B7" s="11" t="str">
        <x:v>First delivery</x:v>
      </x:c>
      <x:c r="C7" s="11" t="str">
        <x:v>TBD</x:v>
      </x:c>
      <x:c r="D7" s="11" t="str">
        <x:v>TBD</x:v>
      </x:c>
      <x:c r="E7" s="11" t="str"/>
      <x:c r="F7" s="11" t="str">
        <x:v>Supplier + Facilities — TBD</x:v>
      </x:c>
      <x:c r="G7" s="11" t="str">
        <x:v>M36-02</x:v>
      </x:c>
      <x:c r="H7" s="11" t="str">
        <x:v>Meter + delivery record</x:v>
      </x:c>
      <x:c r="I7" s="11" t="str">
        <x:v>Gray</x:v>
      </x:c>
      <x:c r="J7" s="11" t="str"/>
      <x:c r="K7" s="11" t="str">
        <x:v>TBD WITH CLIENT</x:v>
      </x:c>
    </x:row>
    <x:row r="8" ht="15" hidden="0" customHeight="1">
      <x:c r="A8" s="12" t="str">
        <x:v>M36-04</x:v>
      </x:c>
      <x:c r="B8" s="12" t="str">
        <x:v>First certificate transfer</x:v>
      </x:c>
      <x:c r="C8" s="12" t="str">
        <x:v>TBD</x:v>
      </x:c>
      <x:c r="D8" s="12" t="str">
        <x:v>TBD</x:v>
      </x:c>
      <x:c r="E8" s="12" t="str"/>
      <x:c r="F8" s="12" t="str">
        <x:v>Sustainability — TBD</x:v>
      </x:c>
      <x:c r="G8" s="12" t="str">
        <x:v>M36-03 / RD35-03</x:v>
      </x:c>
      <x:c r="H8" s="12" t="str">
        <x:v>Registry evidence</x:v>
      </x:c>
      <x:c r="I8" s="12" t="str">
        <x:v>Gray</x:v>
      </x:c>
      <x:c r="J8" s="12" t="str"/>
      <x:c r="K8" s="12" t="str">
        <x:v>TBD WITH CLIENT</x:v>
      </x:c>
    </x:row>
    <x:row r="9" ht="15" hidden="0" customHeight="1">
      <x:c r="A9" s="11" t="str">
        <x:v>M36-05</x:v>
      </x:c>
      <x:c r="B9" s="11" t="str">
        <x:v>BAU acceptance</x:v>
      </x:c>
      <x:c r="C9" s="11" t="str">
        <x:v>TBD</x:v>
      </x:c>
      <x:c r="D9" s="11" t="str">
        <x:v>TBD</x:v>
      </x:c>
      <x:c r="E9" s="11" t="str"/>
      <x:c r="F9" s="11" t="str">
        <x:v>Business owner — TBD</x:v>
      </x:c>
      <x:c r="G9" s="11" t="str">
        <x:v>Stable review cycles</x:v>
      </x:c>
      <x:c r="H9" s="11" t="str">
        <x:v>Acceptance record</x:v>
      </x:c>
      <x:c r="I9" s="11" t="str">
        <x:v>Gray</x:v>
      </x:c>
      <x:c r="J9" s="11" t="str"/>
      <x:c r="K9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e5f87c7c1d8047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  <x:col min="11" max="11" width="38" hidden="0" customWidth="1"/>
    <x:col min="12" max="12" width="26" hidden="0" customWidth="1"/>
  </x:cols>
  <x:sheetData>
    <x:row r="2" ht="15" hidden="0" customHeight="1">
      <x:c r="A2" s="18" t="str">
        <x:v>Expected versus actual delivery — synthetic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 ht="15" hidden="0" customHeight="1">
      <x:c r="A4" s="21" t="str">
        <x:v>Period</x:v>
      </x:c>
      <x:c r="B4" s="21" t="str">
        <x:v>Site / meter ID</x:v>
      </x:c>
      <x:c r="C4" s="21" t="str">
        <x:v>Offer / route ID</x:v>
      </x:c>
      <x:c r="D4" s="21" t="str">
        <x:v>Expected MWh</x:v>
      </x:c>
      <x:c r="E4" s="21" t="str">
        <x:v>Actual MWh</x:v>
      </x:c>
      <x:c r="F4" s="21" t="str">
        <x:v>Variance MWh</x:v>
      </x:c>
      <x:c r="G4" s="21" t="str">
        <x:v>Variance %</x:v>
      </x:c>
      <x:c r="H4" s="21" t="str">
        <x:v>Tolerance %</x:v>
      </x:c>
      <x:c r="I4" s="21" t="str">
        <x:v>Status</x:v>
      </x:c>
      <x:c r="J4" s="21" t="str">
        <x:v>Cause</x:v>
      </x:c>
      <x:c r="K4" s="21" t="str">
        <x:v>Action</x:v>
      </x:c>
      <x:c r="L4" s="21" t="str">
        <x:v>Truth status</x:v>
      </x:c>
    </x:row>
    <x:row r="5" ht="15" hidden="0" customHeight="1">
      <x:c r="A5" s="11" t="str">
        <x:v>2028-01 demo</x:v>
      </x:c>
      <x:c r="B5" s="11" t="str">
        <x:v>SITE-DEMO-01</x:v>
      </x:c>
      <x:c r="C5" s="11" t="str">
        <x:v>OFF-DEMO-A</x:v>
      </x:c>
      <x:c r="D5" s="13" t="n">
        <x:v>2500</x:v>
      </x:c>
      <x:c r="E5" s="13" t="n">
        <x:v>2350</x:v>
      </x:c>
      <x:c r="F5" s="11" t="n">
        <x:f>E5-D5</x:f>
        <x:v>-150</x:v>
      </x:c>
      <x:c r="G5" s="14" t="n">
        <x:f>IF(D5=0,0,F5/D5)</x:f>
        <x:v>-0.06</x:v>
      </x:c>
      <x:c r="H5" s="14" t="n">
        <x:v>0.05</x:v>
      </x:c>
      <x:c r="I5" s="11" t="str">
        <x:f>IF(ABS(G5)&lt;=H5,"WITHIN TOLERANCE","ESCALATE")</x:f>
        <x:v>ESCALATE</x:v>
      </x:c>
      <x:c r="J5" s="11" t="str">
        <x:v>Demo shortfall</x:v>
      </x:c>
      <x:c r="K5" s="11" t="str">
        <x:v>Request evidence / remedy</x:v>
      </x:c>
      <x:c r="L5" s="11" t="str">
        <x:v>SYNTHETIC / DEMO DATA</x:v>
      </x:c>
    </x:row>
    <x:row r="6" ht="15" hidden="0" customHeight="1">
      <x:c r="A6" s="12" t="str">
        <x:v>2028-02 demo</x:v>
      </x:c>
      <x:c r="B6" s="12" t="str">
        <x:v>SITE-DEMO-01</x:v>
      </x:c>
      <x:c r="C6" s="12" t="str">
        <x:v>OFF-DEMO-A</x:v>
      </x:c>
      <x:c r="D6" s="13" t="n">
        <x:v>2500</x:v>
      </x:c>
      <x:c r="E6" s="13" t="n">
        <x:v>2520</x:v>
      </x:c>
      <x:c r="F6" s="12" t="n">
        <x:f>E6-D6</x:f>
        <x:v>20</x:v>
      </x:c>
      <x:c r="G6" s="15" t="n">
        <x:f>IF(D6=0,0,F6/D6)</x:f>
        <x:v>0.008</x:v>
      </x:c>
      <x:c r="H6" s="15" t="n">
        <x:v>0.05</x:v>
      </x:c>
      <x:c r="I6" s="12" t="str">
        <x:f>IF(ABS(G6)&lt;=H6,"WITHIN TOLERANCE","ESCALATE")</x:f>
        <x:v>WITHIN TOLERANCE</x:v>
      </x:c>
      <x:c r="J6" s="12" t="str">
        <x:v>Demo within tolerance</x:v>
      </x:c>
      <x:c r="K6" s="12" t="str">
        <x:v>Monitor</x:v>
      </x:c>
      <x:c r="L6" s="12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3ff52874505c4f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20" hidden="0" customWidth="1"/>
    <x:col min="5" max="5" width="20" hidden="0" customWidth="1"/>
    <x:col min="6" max="6" width="18" hidden="0" customWidth="1"/>
    <x:col min="7" max="7" width="34" hidden="0" customWidth="1"/>
    <x:col min="8" max="8" width="18" hidden="0" customWidth="1"/>
    <x:col min="9" max="9" width="20" hidden="0" customWidth="1"/>
    <x:col min="10" max="10" width="22" hidden="0" customWidth="1"/>
    <x:col min="11" max="11" width="28" hidden="0" customWidth="1"/>
    <x:col min="12" max="12" width="26" hidden="0" customWidth="1"/>
  </x:cols>
  <x:sheetData>
    <x:row r="2" ht="15" hidden="0" customHeight="1">
      <x:c r="A2" s="18" t="str">
        <x:v>Certificate issuance, transfer and retirement — synthetic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 ht="15" hidden="0" customHeight="1">
      <x:c r="A4" s="21" t="str">
        <x:v>Certificate record ID</x:v>
      </x:c>
      <x:c r="B4" s="21" t="str">
        <x:v>Period</x:v>
      </x:c>
      <x:c r="C4" s="21" t="str">
        <x:v>Offer / asset ID</x:v>
      </x:c>
      <x:c r="D4" s="21" t="str">
        <x:v>Technology</x:v>
      </x:c>
      <x:c r="E4" s="21" t="str">
        <x:v>MWh represented</x:v>
      </x:c>
      <x:c r="F4" s="21" t="str">
        <x:v>Vintage</x:v>
      </x:c>
      <x:c r="G4" s="21" t="str">
        <x:v>Serial / batch</x:v>
      </x:c>
      <x:c r="H4" s="21" t="str">
        <x:v>Issued</x:v>
      </x:c>
      <x:c r="I4" s="21" t="str">
        <x:v>Transferred</x:v>
      </x:c>
      <x:c r="J4" s="21" t="str">
        <x:v>Retired / claimed</x:v>
      </x:c>
      <x:c r="K4" s="21" t="str">
        <x:v>Eligibility check</x:v>
      </x:c>
      <x:c r="L4" s="21" t="str">
        <x:v>Status</x:v>
      </x:c>
    </x:row>
    <x:row r="5" ht="15" hidden="0" customHeight="1">
      <x:c r="A5" s="11" t="str">
        <x:v>CERT-DEMO-01</x:v>
      </x:c>
      <x:c r="B5" s="11" t="str">
        <x:v>2028-01 demo</x:v>
      </x:c>
      <x:c r="C5" s="11" t="str">
        <x:v>OFF-DEMO-A / A-DEMO-01</x:v>
      </x:c>
      <x:c r="D5" s="11" t="str">
        <x:v>Solar demo</x:v>
      </x:c>
      <x:c r="E5" s="11" t="n">
        <x:v>2350</x:v>
      </x:c>
      <x:c r="F5" s="11" t="str">
        <x:v>2028 demo</x:v>
      </x:c>
      <x:c r="G5" s="11" t="str">
        <x:v>SERIAL-DEMO-DO-NOT-USE</x:v>
      </x:c>
      <x:c r="H5" s="11" t="str">
        <x:v>Demo date</x:v>
      </x:c>
      <x:c r="I5" s="11" t="str">
        <x:v>Not transferred</x:v>
      </x:c>
      <x:c r="J5" s="11" t="str">
        <x:v>No</x:v>
      </x:c>
      <x:c r="K5" s="11" t="str">
        <x:v>Not performed</x:v>
      </x:c>
      <x:c r="L5" s="11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1a82c0caa26c4a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  <x:col min="9" max="9" width="22" hidden="0" customWidth="1"/>
    <x:col min="10" max="10" width="24" hidden="0" customWidth="1"/>
    <x:col min="11" max="11" width="20" hidden="0" customWidth="1"/>
    <x:col min="12" max="12" width="26" hidden="0" customWidth="1"/>
  </x:cols>
  <x:sheetData>
    <x:row r="2" ht="15" hidden="0" customHeight="1">
      <x:c r="A2" s="18" t="str">
        <x:v>Monthly volume, certificate and commercial reconciliation — synthetic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 ht="15" hidden="0" customHeight="1">
      <x:c r="A4" s="21" t="str">
        <x:v>Period</x:v>
      </x:c>
      <x:c r="B4" s="21" t="str">
        <x:v>Actual delivered MWh</x:v>
      </x:c>
      <x:c r="C4" s="21" t="str">
        <x:v>Certificate MWh</x:v>
      </x:c>
      <x:c r="D4" s="21" t="str">
        <x:v>Unmatched MWh</x:v>
      </x:c>
      <x:c r="E4" s="21" t="str">
        <x:v>Energy rate NTD/MWh</x:v>
      </x:c>
      <x:c r="F4" s="21" t="str">
        <x:v>Invoice energy NTD</x:v>
      </x:c>
      <x:c r="G4" s="21" t="str">
        <x:v>Expected energy NTD</x:v>
      </x:c>
      <x:c r="H4" s="21" t="str">
        <x:v>Variance NTD</x:v>
      </x:c>
      <x:c r="I4" s="21" t="str">
        <x:v>Delivery status</x:v>
      </x:c>
      <x:c r="J4" s="21" t="str">
        <x:v>Certificate status</x:v>
      </x:c>
      <x:c r="K4" s="21" t="str">
        <x:v>Invoice status</x:v>
      </x:c>
      <x:c r="L4" s="21" t="str">
        <x:v>Truth status</x:v>
      </x:c>
    </x:row>
    <x:row r="5" ht="15" hidden="0" customHeight="1">
      <x:c r="A5" s="11" t="str">
        <x:v>2028-01 demo</x:v>
      </x:c>
      <x:c r="B5" s="11" t="n">
        <x:f>Delivery!E5</x:f>
        <x:v>2350</x:v>
      </x:c>
      <x:c r="C5" s="13" t="n">
        <x:v>0</x:v>
      </x:c>
      <x:c r="D5" s="13" t="n">
        <x:f>B5-C5</x:f>
        <x:v>2350</x:v>
      </x:c>
      <x:c r="E5" s="13" t="n">
        <x:v>3450</x:v>
      </x:c>
      <x:c r="F5" s="13" t="n">
        <x:v>8107500</x:v>
      </x:c>
      <x:c r="G5" s="11" t="n">
        <x:f>B5*E5</x:f>
        <x:v>8107500</x:v>
      </x:c>
      <x:c r="H5" s="11" t="n">
        <x:f>F5-G5</x:f>
        <x:v>0</x:v>
      </x:c>
      <x:c r="I5" s="11" t="str">
        <x:f>Delivery!I5</x:f>
        <x:v>ESCALATE</x:v>
      </x:c>
      <x:c r="J5" s="11" t="str">
        <x:f>IF(D5=0,"MATCHED","OPEN")</x:f>
        <x:v>OPEN</x:v>
      </x:c>
      <x:c r="K5" s="11" t="str">
        <x:f>IF(ABS(H5)&lt;1,"MATCHED","REVIEW")</x:f>
        <x:v>MATCHED</x:v>
      </x:c>
      <x:c r="L5" s="11" t="str">
        <x:v>SYNTHETIC / DEMO DATA</x:v>
      </x:c>
    </x:row>
    <x:row r="6" ht="15" hidden="0" customHeight="1">
      <x:c r="A6" s="12" t="str">
        <x:v>2028-02 demo</x:v>
      </x:c>
      <x:c r="B6" s="12" t="n">
        <x:f>Delivery!E6</x:f>
        <x:v>2520</x:v>
      </x:c>
      <x:c r="C6" s="13" t="n">
        <x:v>0</x:v>
      </x:c>
      <x:c r="D6" s="13" t="n">
        <x:f>B6-C6</x:f>
        <x:v>2520</x:v>
      </x:c>
      <x:c r="E6" s="13" t="n">
        <x:v>3450</x:v>
      </x:c>
      <x:c r="F6" s="13" t="n">
        <x:v>8694000</x:v>
      </x:c>
      <x:c r="G6" s="12" t="n">
        <x:f>B6*E6</x:f>
        <x:v>8694000</x:v>
      </x:c>
      <x:c r="H6" s="12" t="n">
        <x:f>F6-G6</x:f>
        <x:v>0</x:v>
      </x:c>
      <x:c r="I6" s="12" t="str">
        <x:f>Delivery!I6</x:f>
        <x:v>WITHIN TOLERANCE</x:v>
      </x:c>
      <x:c r="J6" s="12" t="str">
        <x:f>IF(D6=0,"MATCHED","OPEN")</x:f>
        <x:v>OPEN</x:v>
      </x:c>
      <x:c r="K6" s="12" t="str">
        <x:f>IF(ABS(H6)&lt;1,"MATCHED","REVIEW")</x:f>
        <x:v>MATCHED</x:v>
      </x:c>
      <x:c r="L6" s="12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10fcf8cec1e449e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44" hidden="0" customWidth="1"/>
    <x:col min="5" max="5" width="32" hidden="0" customWidth="1"/>
    <x:col min="6" max="6" width="32" hidden="0" customWidth="1"/>
    <x:col min="7" max="7" width="38" hidden="0" customWidth="1"/>
    <x:col min="8" max="8" width="28" hidden="0" customWidth="1"/>
    <x:col min="9" max="9" width="18" hidden="0" customWidth="1"/>
    <x:col min="10" max="10" width="16" hidden="0" customWidth="1"/>
    <x:col min="11" max="11" width="42" hidden="0" customWidth="1"/>
  </x:cols>
  <x:sheetData>
    <x:row r="2" ht="15" hidden="0" customHeight="1">
      <x:c r="A2" s="18" t="str">
        <x:v>Commercial issue and remedy log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 ht="15" hidden="0" customHeight="1">
      <x:c r="A4" s="21" t="str">
        <x:v>Issue ID</x:v>
      </x:c>
      <x:c r="B4" s="21" t="str">
        <x:v>Period</x:v>
      </x:c>
      <x:c r="C4" s="21" t="str">
        <x:v>Category</x:v>
      </x:c>
      <x:c r="D4" s="21" t="str">
        <x:v>Description</x:v>
      </x:c>
      <x:c r="E4" s="21" t="str">
        <x:v>Contract reference</x:v>
      </x:c>
      <x:c r="F4" s="21" t="str">
        <x:v>Evidence</x:v>
      </x:c>
      <x:c r="G4" s="21" t="str">
        <x:v>Commercial impact</x:v>
      </x:c>
      <x:c r="H4" s="21" t="str">
        <x:v>Owner</x:v>
      </x:c>
      <x:c r="I4" s="21" t="str">
        <x:v>Due</x:v>
      </x:c>
      <x:c r="J4" s="21" t="str">
        <x:v>Status</x:v>
      </x:c>
      <x:c r="K4" s="21" t="str">
        <x:v>Remedy / decision</x:v>
      </x:c>
    </x:row>
    <x:row r="5" ht="15" hidden="0" customHeight="1">
      <x:c r="A5" s="11" t="str">
        <x:v>CI-DEMO-01</x:v>
      </x:c>
      <x:c r="B5" s="11" t="str">
        <x:v>2028-01 demo</x:v>
      </x:c>
      <x:c r="C5" s="11" t="str">
        <x:v>Delivery shortfall</x:v>
      </x:c>
      <x:c r="D5" s="11" t="str">
        <x:v>Demo actual below tolerance</x:v>
      </x:c>
      <x:c r="E5" s="11" t="str">
        <x:v>Final clause TBD</x:v>
      </x:c>
      <x:c r="F5" s="11" t="str">
        <x:v>Demo delivery row</x:v>
      </x:c>
      <x:c r="G5" s="11" t="str">
        <x:v>Replacement / credit TBD</x:v>
      </x:c>
      <x:c r="H5" s="11" t="str">
        <x:v>Commercial Lead</x:v>
      </x:c>
      <x:c r="I5" s="11" t="str">
        <x:v>TBD</x:v>
      </x:c>
      <x:c r="J5" s="11" t="str">
        <x:v>Open</x:v>
      </x:c>
      <x:c r="K5" s="11" t="str">
        <x:v>Apply approved remedy only</x:v>
      </x:c>
    </x:row>
    <x:row r="6" ht="15" hidden="0" customHeight="1">
      <x:c r="A6" s="12" t="str">
        <x:v>CI-DEMO-02</x:v>
      </x:c>
      <x:c r="B6" s="12" t="str">
        <x:v>2028-01 demo</x:v>
      </x:c>
      <x:c r="C6" s="12" t="str">
        <x:v>Certificate timing</x:v>
      </x:c>
      <x:c r="D6" s="12" t="str">
        <x:v>No certificate matched in demo</x:v>
      </x:c>
      <x:c r="E6" s="12" t="str">
        <x:v>Final schedule TBD</x:v>
      </x:c>
      <x:c r="F6" s="12" t="str">
        <x:v>Demo certificate row</x:v>
      </x:c>
      <x:c r="G6" s="12" t="str">
        <x:v>Claim timing risk</x:v>
      </x:c>
      <x:c r="H6" s="12" t="str">
        <x:v>Sustainability</x:v>
      </x:c>
      <x:c r="I6" s="12" t="str">
        <x:v>TBD</x:v>
      </x:c>
      <x:c r="J6" s="12" t="str">
        <x:v>Open</x:v>
      </x:c>
      <x:c r="K6" s="12" t="str">
        <x:v>Investigate / replace</x:v>
      </x:c>
    </x:row>
  </x:sheetData>
  <x:pageMargins left="0.7" right="0.7" top="0.75" bottom="0.75" header="0.3" footer="0.3"/>
  <x:tableParts count="1">
    <x:tablePart xmlns:r="http://schemas.openxmlformats.org/officeDocument/2006/relationships" r:id="R94ca0bfdcac24ba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8" hidden="0" customWidth="1"/>
    <x:col min="5" max="5" width="20" hidden="0" customWidth="1"/>
    <x:col min="6" max="6" width="30" hidden="0" customWidth="1"/>
    <x:col min="7" max="7" width="48" hidden="0" customWidth="1"/>
    <x:col min="8" max="8" width="30" hidden="0" customWidth="1"/>
    <x:col min="9" max="9" width="18" hidden="0" customWidth="1"/>
    <x:col min="10" max="10" width="26" hidden="0" customWidth="1"/>
  </x:cols>
  <x:sheetData>
    <x:row r="2" ht="15" hidden="0" customHeight="1">
      <x:c r="A2" s="18" t="str">
        <x:v>Periodic client report — decision-oriented demo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 ht="15" hidden="0" customHeight="1">
      <x:c r="A4" s="21" t="str">
        <x:v>Section</x:v>
      </x:c>
      <x:c r="B4" s="21" t="str">
        <x:v>Metric / message</x:v>
      </x:c>
      <x:c r="C4" s="21" t="str">
        <x:v>Current</x:v>
      </x:c>
      <x:c r="D4" s="21" t="str">
        <x:v>Prior</x:v>
      </x:c>
      <x:c r="E4" s="21" t="str">
        <x:v>Trend / RAG</x:v>
      </x:c>
      <x:c r="F4" s="21" t="str">
        <x:v>Evidence</x:v>
      </x:c>
      <x:c r="G4" s="21" t="str">
        <x:v>Decision / action</x:v>
      </x:c>
      <x:c r="H4" s="21" t="str">
        <x:v>Owner</x:v>
      </x:c>
      <x:c r="I4" s="21" t="str">
        <x:v>Due</x:v>
      </x:c>
      <x:c r="J4" s="21" t="str">
        <x:v>Truth status</x:v>
      </x:c>
    </x:row>
    <x:row r="5" ht="15" hidden="0" customHeight="1">
      <x:c r="A5" s="11" t="str">
        <x:v>Delivery</x:v>
      </x:c>
      <x:c r="B5" s="11" t="str">
        <x:v>Latest period status</x:v>
      </x:c>
      <x:c r="C5" s="11" t="str">
        <x:f>Delivery!I6</x:f>
        <x:v>WITHIN TOLERANCE</x:v>
      </x:c>
      <x:c r="D5" s="11" t="str">
        <x:v>N/A</x:v>
      </x:c>
      <x:c r="E5" s="11" t="str">
        <x:v>Formula</x:v>
      </x:c>
      <x:c r="F5" s="11" t="str">
        <x:v>Delivery sheet</x:v>
      </x:c>
      <x:c r="G5" s="11" t="str">
        <x:v>Resolve variance if outside tolerance</x:v>
      </x:c>
      <x:c r="H5" s="11" t="str">
        <x:v>Implementation Lead</x:v>
      </x:c>
      <x:c r="I5" s="11" t="str">
        <x:v>TBD</x:v>
      </x:c>
      <x:c r="J5" s="11" t="str">
        <x:v>Formula</x:v>
      </x:c>
    </x:row>
    <x:row r="6" ht="15" hidden="0" customHeight="1">
      <x:c r="A6" s="12" t="str">
        <x:v>Certificates</x:v>
      </x:c>
      <x:c r="B6" s="12" t="str">
        <x:v>Open unmatched MWh</x:v>
      </x:c>
      <x:c r="C6" s="12" t="n">
        <x:f>SUM(Reconciliation!D5:D6)</x:f>
        <x:v>4870</x:v>
      </x:c>
      <x:c r="D6" s="12" t="str">
        <x:v>N/A</x:v>
      </x:c>
      <x:c r="E6" s="12" t="str">
        <x:v>Formula</x:v>
      </x:c>
      <x:c r="F6" s="12" t="str">
        <x:v>Reconciliation sheet</x:v>
      </x:c>
      <x:c r="G6" s="12" t="str">
        <x:v>Confirm transfer / replacement</x:v>
      </x:c>
      <x:c r="H6" s="12" t="str">
        <x:v>Sustainability</x:v>
      </x:c>
      <x:c r="I6" s="12" t="str">
        <x:v>TBD</x:v>
      </x:c>
      <x:c r="J6" s="12" t="str">
        <x:v>Formula</x:v>
      </x:c>
    </x:row>
    <x:row r="7" ht="15" hidden="0" customHeight="1">
      <x:c r="A7" s="11" t="str">
        <x:v>Commercial</x:v>
      </x:c>
      <x:c r="B7" s="11" t="str">
        <x:v>Invoice items requiring review</x:v>
      </x:c>
      <x:c r="C7" s="11" t="n">
        <x:f>COUNTIF(Reconciliation!K5:K6,"REVIEW")</x:f>
        <x:v>0</x:v>
      </x:c>
      <x:c r="D7" s="11" t="str">
        <x:v>N/A</x:v>
      </x:c>
      <x:c r="E7" s="11" t="str">
        <x:v>Formula</x:v>
      </x:c>
      <x:c r="F7" s="11" t="str">
        <x:v>Reconciliation sheet</x:v>
      </x:c>
      <x:c r="G7" s="11" t="str">
        <x:v>Validate / dispute per contract</x:v>
      </x:c>
      <x:c r="H7" s="11" t="str">
        <x:v>Finance</x:v>
      </x:c>
      <x:c r="I7" s="11" t="str">
        <x:v>TBD</x:v>
      </x:c>
      <x:c r="J7" s="11" t="str">
        <x:v>Formula</x:v>
      </x:c>
    </x:row>
    <x:row r="8" ht="15" hidden="0" customHeight="1">
      <x:c r="A8" s="12" t="str">
        <x:v>Issues</x:v>
      </x:c>
      <x:c r="B8" s="12" t="str">
        <x:v>Open commercial issues</x:v>
      </x:c>
      <x:c r="C8" s="12" t="n">
        <x:f>COUNTIF('Commercial Issues'!J5:J6,"Open")</x:f>
        <x:v>2</x:v>
      </x:c>
      <x:c r="D8" s="12" t="str">
        <x:v>N/A</x:v>
      </x:c>
      <x:c r="E8" s="12" t="str">
        <x:v>Formula</x:v>
      </x:c>
      <x:c r="F8" s="12" t="str">
        <x:v>Commercial Issues</x:v>
      </x:c>
      <x:c r="G8" s="12" t="str">
        <x:v>Escalate overdue high items</x:v>
      </x:c>
      <x:c r="H8" s="12" t="str">
        <x:v>Project Lead</x:v>
      </x:c>
      <x:c r="I8" s="12" t="str">
        <x:v>TBD</x:v>
      </x:c>
      <x:c r="J8" s="12" t="str">
        <x:v>Formula</x:v>
      </x:c>
    </x:row>
  </x:sheetData>
  <x:pageMargins left="0.7" right="0.7" top="0.75" bottom="0.75" header="0.3" footer="0.3"/>
  <x:tableParts count="1">
    <x:tablePart xmlns:r="http://schemas.openxmlformats.org/officeDocument/2006/relationships" r:id="R99b6ee29ee304a5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24" hidden="0" customWidth="1"/>
    <x:col min="4" max="4" width="34" hidden="0" customWidth="1"/>
    <x:col min="5" max="5" width="30" hidden="0" customWidth="1"/>
    <x:col min="6" max="6" width="32" hidden="0" customWidth="1"/>
    <x:col min="7" max="7" width="16" hidden="0" customWidth="1"/>
    <x:col min="8" max="8" width="38" hidden="0" customWidth="1"/>
    <x:col min="9" max="9" width="34" hidden="0" customWidth="1"/>
    <x:col min="10" max="10" width="26" hidden="0" customWidth="1"/>
  </x:cols>
  <x:sheetData>
    <x:row r="2" ht="15" hidden="0" customHeight="1">
      <x:c r="A2" s="18" t="str">
        <x:v>G11 BAU acceptance criteria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 ht="15" hidden="0" customHeight="1">
      <x:c r="A4" s="21" t="str">
        <x:v>Criterion</x:v>
      </x:c>
      <x:c r="B4" s="21" t="str">
        <x:v>Required evidence</x:v>
      </x:c>
      <x:c r="C4" s="21" t="str">
        <x:v>Minimum stable cycles</x:v>
      </x:c>
      <x:c r="D4" s="21" t="str">
        <x:v>Current evidence</x:v>
      </x:c>
      <x:c r="E4" s="21" t="str">
        <x:v>Owner</x:v>
      </x:c>
      <x:c r="F4" s="21" t="str">
        <x:v>Accepting authority</x:v>
      </x:c>
      <x:c r="G4" s="21" t="str">
        <x:v>Ready?</x:v>
      </x:c>
      <x:c r="H4" s="21" t="str">
        <x:v>Residual issue</x:v>
      </x:c>
      <x:c r="I4" s="21" t="str">
        <x:v>Next action</x:v>
      </x:c>
      <x:c r="J4" s="21" t="str">
        <x:v>Truth status</x:v>
      </x:c>
    </x:row>
    <x:row r="5" ht="15" hidden="0" customHeight="1">
      <x:c r="A5" s="11" t="str">
        <x:v>Delivery reconciliation</x:v>
      </x:c>
      <x:c r="B5" s="11" t="str">
        <x:v>Complete expected / actual process</x:v>
      </x:c>
      <x:c r="C5" s="11" t="n">
        <x:v>3</x:v>
      </x:c>
      <x:c r="D5" s="11" t="str">
        <x:v>Synthetic demo only</x:v>
      </x:c>
      <x:c r="E5" s="11" t="str">
        <x:v>Operations — TBD</x:v>
      </x:c>
      <x:c r="F5" s="11" t="str">
        <x:v>Business owner — TBD</x:v>
      </x:c>
      <x:c r="G5" s="11" t="str">
        <x:v>No</x:v>
      </x:c>
      <x:c r="H5" s="11" t="str">
        <x:v>Real data and tolerance needed</x:v>
      </x:c>
      <x:c r="I5" s="11" t="str">
        <x:v>Run controlled cycles</x:v>
      </x:c>
      <x:c r="J5" s="11" t="str">
        <x:v>TBD WITH CLIENT</x:v>
      </x:c>
    </x:row>
    <x:row r="6" ht="15" hidden="0" customHeight="1">
      <x:c r="A6" s="12" t="str">
        <x:v>Certificate control</x:v>
      </x:c>
      <x:c r="B6" s="12" t="str">
        <x:v>Traceable issuance to claim / retirement</x:v>
      </x:c>
      <x:c r="C6" s="12" t="n">
        <x:v>1</x:v>
      </x:c>
      <x:c r="D6" s="12" t="str">
        <x:v>Synthetic demo only</x:v>
      </x:c>
      <x:c r="E6" s="12" t="str">
        <x:v>Sustainability — TBD</x:v>
      </x:c>
      <x:c r="F6" s="12" t="str">
        <x:v>RE100 owner — TBD</x:v>
      </x:c>
      <x:c r="G6" s="12" t="str">
        <x:v>No</x:v>
      </x:c>
      <x:c r="H6" s="12" t="str">
        <x:v>Policy / registry inputs needed</x:v>
      </x:c>
      <x:c r="I6" s="12" t="str">
        <x:v>Validate procedure</x:v>
      </x:c>
      <x:c r="J6" s="12" t="str">
        <x:v>TBD WITH CLIENT</x:v>
      </x:c>
    </x:row>
    <x:row r="7" ht="15" hidden="0" customHeight="1">
      <x:c r="A7" s="11" t="str">
        <x:v>Invoice control</x:v>
      </x:c>
      <x:c r="B7" s="11" t="str">
        <x:v>Contract-formula reconciliation</x:v>
      </x:c>
      <x:c r="C7" s="11" t="n">
        <x:v>3</x:v>
      </x:c>
      <x:c r="D7" s="11" t="str">
        <x:v>Synthetic demo only</x:v>
      </x:c>
      <x:c r="E7" s="11" t="str">
        <x:v>Finance — TBD</x:v>
      </x:c>
      <x:c r="F7" s="11" t="str">
        <x:v>Finance owner — TBD</x:v>
      </x:c>
      <x:c r="G7" s="11" t="str">
        <x:v>No</x:v>
      </x:c>
      <x:c r="H7" s="11" t="str">
        <x:v>Actual invoice design needed</x:v>
      </x:c>
      <x:c r="I7" s="11" t="str">
        <x:v>Dry run</x:v>
      </x:c>
      <x:c r="J7" s="11" t="str">
        <x:v>TBD WITH CLIENT</x:v>
      </x:c>
    </x:row>
    <x:row r="8" ht="15" hidden="0" customHeight="1">
      <x:c r="A8" s="12" t="str">
        <x:v>Issue escalation</x:v>
      </x:c>
      <x:c r="B8" s="12" t="str">
        <x:v>Owner, SLA and decision record operating</x:v>
      </x:c>
      <x:c r="C8" s="12" t="n">
        <x:v>2</x:v>
      </x:c>
      <x:c r="D8" s="12" t="str">
        <x:v>Template only</x:v>
      </x:c>
      <x:c r="E8" s="12" t="str">
        <x:v>Business owner — TBD</x:v>
      </x:c>
      <x:c r="F8" s="12" t="str">
        <x:v>Sponsor — TBD</x:v>
      </x:c>
      <x:c r="G8" s="12" t="str">
        <x:v>No</x:v>
      </x:c>
      <x:c r="H8" s="12" t="str">
        <x:v>Cadence / authority unconfirmed</x:v>
      </x:c>
      <x:c r="I8" s="12" t="str">
        <x:v>Approve governance</x:v>
      </x:c>
      <x:c r="J8" s="12" t="str">
        <x:v>TBD WITH CLIENT</x:v>
      </x:c>
    </x:row>
    <x:row r="9" ht="15" hidden="0" customHeight="1">
      <x:c r="A9" s="11" t="str">
        <x:v>SOP and ownership</x:v>
      </x:c>
      <x:c r="B9" s="11" t="str">
        <x:v>Accepted SOP, files, contacts and training</x:v>
      </x:c>
      <x:c r="C9" s="11" t="n">
        <x:v>1</x:v>
      </x:c>
      <x:c r="D9" s="11" t="str">
        <x:v>Draft repository</x:v>
      </x:c>
      <x:c r="E9" s="11" t="str">
        <x:v>Implementation Lead</x:v>
      </x:c>
      <x:c r="F9" s="11" t="str">
        <x:v>Business owner — TBD</x:v>
      </x:c>
      <x:c r="G9" s="11" t="str">
        <x:v>No</x:v>
      </x:c>
      <x:c r="H9" s="11" t="str">
        <x:v>Named BAU team needed</x:v>
      </x:c>
      <x:c r="I9" s="11" t="str">
        <x:v>Train and sign off</x:v>
      </x:c>
      <x:c r="J9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3de5966273a94c7a"/>
  </x:tableParts>
</x:worksheet>
</file>