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9f71c1753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80928bc78614208"/>
    <x:sheet xmlns:r="http://schemas.openxmlformats.org/officeDocument/2006/relationships" name="Term Positions" sheetId="2" r:id="R8b964bb5fd69457a"/>
    <x:sheet xmlns:r="http://schemas.openxmlformats.org/officeDocument/2006/relationships" name="Authority Matrix" sheetId="3" r:id="Rb560ab70c1ad4ac5"/>
    <x:sheet xmlns:r="http://schemas.openxmlformats.org/officeDocument/2006/relationships" name="Issue List" sheetId="4" r:id="R540e7e0958a14b57"/>
    <x:sheet xmlns:r="http://schemas.openxmlformats.org/officeDocument/2006/relationships" name="Alignment Summary" sheetId="5" r:id="Rafd6fb5ebac2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76fea240645f7" /><Relationship Type="http://schemas.openxmlformats.org/officeDocument/2006/relationships/theme" Target="/xl/theme/theme1.xml" Id="Ra3fab9d2c9cf4e1f" /><Relationship Type="http://schemas.openxmlformats.org/officeDocument/2006/relationships/sharedStrings" Target="/xl/sharedStrings.xml" Id="R7e1ba1a977884f6a" /><Relationship Type="http://schemas.openxmlformats.org/officeDocument/2006/relationships/worksheet" Target="/xl/worksheets/sheet1.xml" Id="R880928bc78614208" /><Relationship Type="http://schemas.openxmlformats.org/officeDocument/2006/relationships/worksheet" Target="/xl/worksheets/sheet2.xml" Id="R8b964bb5fd69457a" /><Relationship Type="http://schemas.openxmlformats.org/officeDocument/2006/relationships/worksheet" Target="/xl/worksheets/sheet3.xml" Id="Rb560ab70c1ad4ac5" /><Relationship Type="http://schemas.openxmlformats.org/officeDocument/2006/relationships/worksheet" Target="/xl/worksheets/sheet4.xml" Id="R540e7e0958a14b57" /><Relationship Type="http://schemas.openxmlformats.org/officeDocument/2006/relationships/worksheet" Target="/xl/worksheets/sheet5.xml" Id="Rafd6fb5ebac2483e" /></Relationships>
</file>

<file path=xl/tables/table1.xml><?xml version="1.0" encoding="utf-8"?>
<x:table xmlns:x="http://schemas.openxmlformats.org/spreadsheetml/2006/main" id="1" name="A31Assumptions" displayName="A31Assumptions" ref="A4:J9" headerRowCount="1" totalsRowCount="0" totalsRowShown="0">
  <x:tableColumns count="10">
    <x:tableColumn id="1" name="Assumption ID"/>
    <x:tableColumn id="2" name="Topic"/>
    <x:tableColumn id="3" name="Baseline"/>
    <x:tableColumn id="4" name="Unit / period"/>
    <x:tableColumn id="5" name="Source / evidence"/>
    <x:tableColumn id="6" name="Truth status"/>
    <x:tableColumn id="7" name="Owner"/>
    <x:tableColumn id="8" name="Confirm by"/>
    <x:tableColumn id="9" name="If wrong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31TermPositions" displayName="A31TermPositions" ref="A4:L9" headerRowCount="1" totalsRowCount="0" totalsRowShown="0">
  <x:tableColumns count="12">
    <x:tableColumn id="1" name="Term ID"/>
    <x:tableColumn id="2" name="Topic"/>
    <x:tableColumn id="3" name="Source offer"/>
    <x:tableColumn id="4" name="Must have"/>
    <x:tableColumn id="5" name="Target"/>
    <x:tableColumn id="6" name="Tradeable"/>
    <x:tableColumn id="7" name="Unacceptable"/>
    <x:tableColumn id="8" name="Rationale / evidence"/>
    <x:tableColumn id="9" name="Counterparty latest"/>
    <x:tableColumn id="10" name="Gap"/>
    <x:tableColumn id="11" name="Owner"/>
    <x:tableColumn id="12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31Authority" displayName="A31Authority" ref="A4:I8" headerRowCount="1" totalsRowCount="0" totalsRowShown="0">
  <x:tableColumns count="9">
    <x:tableColumn id="1" name="Decision / term"/>
    <x:tableColumn id="2" name="Prepare"/>
    <x:tableColumn id="3" name="Recommend"/>
    <x:tableColumn id="4" name="Approve"/>
    <x:tableColumn id="5" name="Consult"/>
    <x:tableColumn id="6" name="Inform"/>
    <x:tableColumn id="7" name="Evidence needed"/>
    <x:tableColumn id="8" name="Escalation trigger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31Issues" displayName="A31Issues" ref="A4:J9" headerRowCount="1" totalsRowCount="0" totalsRowShown="0">
  <x:tableColumns count="10">
    <x:tableColumn id="1" name="Issue ID"/>
    <x:tableColumn id="2" name="Linked term"/>
    <x:tableColumn id="3" name="Issue / question"/>
    <x:tableColumn id="4" name="Priority"/>
    <x:tableColumn id="5" name="Commercial impact"/>
    <x:tableColumn id="6" name="Legal / specialist need"/>
    <x:tableColumn id="7" name="Proposed position"/>
    <x:tableColumn id="8" name="Owner"/>
    <x:tableColumn id="9" name="Due / gate"/>
    <x:tableColumn id="10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31Summary" displayName="A31Summary" ref="A4:H8" headerRowCount="1" totalsRowCount="0" totalsRowShown="0">
  <x:tableColumns count="8">
    <x:tableColumn id="1" name="Metric"/>
    <x:tableColumn id="2" name="Value"/>
    <x:tableColumn id="3" name="Interpretation"/>
    <x:tableColumn id="4" name="Decision / action"/>
    <x:tableColumn id="5" name="Owner"/>
    <x:tableColumn id="6" name="Due"/>
    <x:tableColumn id="7" name="Status"/>
    <x:tableColumn id="8" name="Truth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465c6fccbd4b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b4de6ab81d44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e80e39a5f043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6f0107ba8e4a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30dae4f5ed341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20" hidden="0" customWidth="1"/>
    <x:col min="5" max="5" width="38" hidden="0" customWidth="1"/>
    <x:col min="6" max="6" width="26" hidden="0" customWidth="1"/>
    <x:col min="7" max="7" width="30" hidden="0" customWidth="1"/>
    <x:col min="8" max="8" width="18" hidden="0" customWidth="1"/>
    <x:col min="9" max="9" width="38" hidden="0" customWidth="1"/>
    <x:col min="10" max="10" width="16" hidden="0" customWidth="1"/>
  </x:cols>
  <x:sheetData>
    <x:row r="2" ht="15" hidden="0" customHeight="1">
      <x:c r="A2" s="16" t="str">
        <x:v>Final commercial alignment — controlled assumptions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15" hidden="0" customHeight="1">
      <x:c r="A4" s="19" t="str">
        <x:v>Assumption ID</x:v>
      </x:c>
      <x:c r="B4" s="19" t="str">
        <x:v>Topic</x:v>
      </x:c>
      <x:c r="C4" s="19" t="str">
        <x:v>Baseline</x:v>
      </x:c>
      <x:c r="D4" s="19" t="str">
        <x:v>Unit / period</x:v>
      </x:c>
      <x:c r="E4" s="19" t="str">
        <x:v>Source / evidence</x:v>
      </x:c>
      <x:c r="F4" s="19" t="str">
        <x:v>Truth status</x:v>
      </x:c>
      <x:c r="G4" s="19" t="str">
        <x:v>Owner</x:v>
      </x:c>
      <x:c r="H4" s="19" t="str">
        <x:v>Confirm by</x:v>
      </x:c>
      <x:c r="I4" s="19" t="str">
        <x:v>If wrong</x:v>
      </x:c>
      <x:c r="J4" s="19" t="str">
        <x:v>Status</x:v>
      </x:c>
    </x:row>
    <x:row r="5" ht="15" hidden="0" customHeight="1">
      <x:c r="A5" s="11" t="str">
        <x:v>A31-01</x:v>
      </x:c>
      <x:c r="B5" s="11" t="str">
        <x:v>Annual volume</x:v>
      </x:c>
      <x:c r="C5" s="13" t="n">
        <x:v>30000</x:v>
      </x:c>
      <x:c r="D5" s="13" t="str">
        <x:v>MWh / year</x:v>
      </x:c>
      <x:c r="E5" s="13" t="str">
        <x:v>2.6 shortlisted demo offer</x:v>
      </x:c>
      <x:c r="F5" s="13" t="str">
        <x:v>SYNTHETIC / DEMO DATA</x:v>
      </x:c>
      <x:c r="G5" s="13" t="str">
        <x:v>Sustainability — TBD</x:v>
      </x:c>
      <x:c r="H5" s="13" t="str">
        <x:v>TBD</x:v>
      </x:c>
      <x:c r="I5" s="11" t="str">
        <x:v>Reprice / resize</x:v>
      </x:c>
      <x:c r="J5" s="11" t="str">
        <x:v>Open</x:v>
      </x:c>
    </x:row>
    <x:row r="6" ht="15" hidden="0" customHeight="1">
      <x:c r="A6" s="12" t="str">
        <x:v>A31-02</x:v>
      </x:c>
      <x:c r="B6" s="12" t="str">
        <x:v>Target start</x:v>
      </x:c>
      <x:c r="C6" s="13" t="str">
        <x:v>2028 range</x:v>
      </x:c>
      <x:c r="D6" s="13" t="str">
        <x:v>Calendar</x:v>
      </x:c>
      <x:c r="E6" s="13" t="str">
        <x:v>2.6 offer intake</x:v>
      </x:c>
      <x:c r="F6" s="13" t="str">
        <x:v>HYPOTHESIS</x:v>
      </x:c>
      <x:c r="G6" s="13" t="str">
        <x:v>Facilities + Procurement — TBD</x:v>
      </x:c>
      <x:c r="H6" s="13" t="str">
        <x:v>TBD</x:v>
      </x:c>
      <x:c r="I6" s="12" t="str">
        <x:v>Bridge volume needed</x:v>
      </x:c>
      <x:c r="J6" s="12" t="str">
        <x:v>Open</x:v>
      </x:c>
    </x:row>
    <x:row r="7" ht="15" hidden="0" customHeight="1">
      <x:c r="A7" s="11" t="str">
        <x:v>A31-03</x:v>
      </x:c>
      <x:c r="B7" s="11" t="str">
        <x:v>Tenor</x:v>
      </x:c>
      <x:c r="C7" s="13" t="n">
        <x:v>10</x:v>
      </x:c>
      <x:c r="D7" s="13" t="str">
        <x:v>Years</x:v>
      </x:c>
      <x:c r="E7" s="13" t="str">
        <x:v>2.6 demo term</x:v>
      </x:c>
      <x:c r="F7" s="13" t="str">
        <x:v>SYNTHETIC / DEMO DATA</x:v>
      </x:c>
      <x:c r="G7" s="13" t="str">
        <x:v>Decision body — TBD</x:v>
      </x:c>
      <x:c r="H7" s="13" t="str">
        <x:v>TBD</x:v>
      </x:c>
      <x:c r="I7" s="11" t="str">
        <x:v>Portfolio / price changes</x:v>
      </x:c>
      <x:c r="J7" s="11" t="str">
        <x:v>Open</x:v>
      </x:c>
    </x:row>
    <x:row r="8" ht="15" hidden="0" customHeight="1">
      <x:c r="A8" s="12" t="str">
        <x:v>A31-04</x:v>
      </x:c>
      <x:c r="B8" s="12" t="str">
        <x:v>Certificate treatment</x:v>
      </x:c>
      <x:c r="C8" s="13" t="str">
        <x:v>Bundled; eligibility to confirm</x:v>
      </x:c>
      <x:c r="D8" s="13" t="str">
        <x:v>Requirement</x:v>
      </x:c>
      <x:c r="E8" s="13" t="str">
        <x:v>1.4 boundary + 2.6 DD</x:v>
      </x:c>
      <x:c r="F8" s="13" t="str">
        <x:v>TBD WITH CLIENT</x:v>
      </x:c>
      <x:c r="G8" s="13" t="str">
        <x:v>Sustainability + Legal — TBD</x:v>
      </x:c>
      <x:c r="H8" s="13" t="str">
        <x:v>TBD</x:v>
      </x:c>
      <x:c r="I8" s="12" t="str">
        <x:v>Claim may be invalid</x:v>
      </x:c>
      <x:c r="J8" s="12" t="str">
        <x:v>Open</x:v>
      </x:c>
    </x:row>
    <x:row r="9" ht="15" hidden="0" customHeight="1">
      <x:c r="A9" s="11" t="str">
        <x:v>A31-05</x:v>
      </x:c>
      <x:c r="B9" s="11" t="str">
        <x:v>Budget / authority</x:v>
      </x:c>
      <x:c r="C9" s="13" t="str">
        <x:v>Not provided</x:v>
      </x:c>
      <x:c r="D9" s="13" t="str">
        <x:v>NTD / approval tier</x:v>
      </x:c>
      <x:c r="E9" s="13" t="str">
        <x:v>Client process not known</x:v>
      </x:c>
      <x:c r="F9" s="13" t="str">
        <x:v>TBD WITH CLIENT</x:v>
      </x:c>
      <x:c r="G9" s="13" t="str">
        <x:v>Finance / Sponsor — TBD</x:v>
      </x:c>
      <x:c r="H9" s="13" t="str">
        <x:v>TBD</x:v>
      </x:c>
      <x:c r="I9" s="11" t="str">
        <x:v>Cannot mandate negotiation</x:v>
      </x:c>
      <x:c r="J9" s="11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fb465c6fccbd4b8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8" hidden="0" customWidth="1"/>
    <x:col min="5" max="5" width="36" hidden="0" customWidth="1"/>
    <x:col min="6" max="6" width="34" hidden="0" customWidth="1"/>
    <x:col min="7" max="7" width="38" hidden="0" customWidth="1"/>
    <x:col min="8" max="8" width="44" hidden="0" customWidth="1"/>
    <x:col min="9" max="9" width="40" hidden="0" customWidth="1"/>
    <x:col min="10" max="10" width="24" hidden="0" customWidth="1"/>
    <x:col min="11" max="11" width="28" hidden="0" customWidth="1"/>
    <x:col min="12" max="12" width="16" hidden="0" customWidth="1"/>
  </x:cols>
  <x:sheetData>
    <x:row r="2" ht="15" hidden="0" customHeight="1">
      <x:c r="A2" s="16" t="str">
        <x:v>Negotiation term hierarchy — draft and demo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15" hidden="0" customHeight="1">
      <x:c r="A4" s="19" t="str">
        <x:v>Term ID</x:v>
      </x:c>
      <x:c r="B4" s="19" t="str">
        <x:v>Topic</x:v>
      </x:c>
      <x:c r="C4" s="19" t="str">
        <x:v>Source offer</x:v>
      </x:c>
      <x:c r="D4" s="19" t="str">
        <x:v>Must have</x:v>
      </x:c>
      <x:c r="E4" s="19" t="str">
        <x:v>Target</x:v>
      </x:c>
      <x:c r="F4" s="19" t="str">
        <x:v>Tradeable</x:v>
      </x:c>
      <x:c r="G4" s="19" t="str">
        <x:v>Unacceptable</x:v>
      </x:c>
      <x:c r="H4" s="19" t="str">
        <x:v>Rationale / evidence</x:v>
      </x:c>
      <x:c r="I4" s="19" t="str">
        <x:v>Counterparty latest</x:v>
      </x:c>
      <x:c r="J4" s="19" t="str">
        <x:v>Gap</x:v>
      </x:c>
      <x:c r="K4" s="19" t="str">
        <x:v>Owner</x:v>
      </x:c>
      <x:c r="L4" s="19" t="str">
        <x:v>Status</x:v>
      </x:c>
    </x:row>
    <x:row r="5" ht="15" hidden="0" customHeight="1">
      <x:c r="A5" s="11" t="str">
        <x:v>T31-01</x:v>
      </x:c>
      <x:c r="B5" s="11" t="str">
        <x:v>Volume / profile</x:v>
      </x:c>
      <x:c r="C5" s="11" t="str">
        <x:v>OFF-DEMO-A</x:v>
      </x:c>
      <x:c r="D5" s="13" t="str">
        <x:v>Traceable committed supply</x:v>
      </x:c>
      <x:c r="E5" s="13" t="str">
        <x:v>30,000 MWh shaped demo</x:v>
      </x:c>
      <x:c r="F5" s="13" t="str">
        <x:v>Ramp / tolerance range</x:v>
      </x:c>
      <x:c r="G5" s="13" t="str">
        <x:v>Undefined allocation</x:v>
      </x:c>
      <x:c r="H5" s="11" t="str">
        <x:v>Gap / portfolio requirement</x:v>
      </x:c>
      <x:c r="I5" s="11" t="str">
        <x:v>Demo: 30,000; evidence open</x:v>
      </x:c>
      <x:c r="J5" s="11" t="str">
        <x:v>Evidence gap</x:v>
      </x:c>
      <x:c r="K5" s="11" t="str">
        <x:v>Commercial Lead</x:v>
      </x:c>
      <x:c r="L5" s="11" t="str">
        <x:v>Open</x:v>
      </x:c>
    </x:row>
    <x:row r="6" ht="15" hidden="0" customHeight="1">
      <x:c r="A6" s="12" t="str">
        <x:v>T31-02</x:v>
      </x:c>
      <x:c r="B6" s="12" t="str">
        <x:v>COD / start</x:v>
      </x:c>
      <x:c r="C6" s="12" t="str">
        <x:v>OFF-DEMO-A</x:v>
      </x:c>
      <x:c r="D6" s="13" t="str">
        <x:v>Longstop + remedy</x:v>
      </x:c>
      <x:c r="E6" s="13" t="str">
        <x:v>2028 range demo</x:v>
      </x:c>
      <x:c r="F6" s="13" t="str">
        <x:v>Phased start</x:v>
      </x:c>
      <x:c r="G6" s="13" t="str">
        <x:v>No remedy for controllable delay</x:v>
      </x:c>
      <x:c r="H6" s="12" t="str">
        <x:v>Continuity requirement</x:v>
      </x:c>
      <x:c r="I6" s="12" t="str">
        <x:v>TBD</x:v>
      </x:c>
      <x:c r="J6" s="12" t="str">
        <x:v>Open</x:v>
      </x:c>
      <x:c r="K6" s="12" t="str">
        <x:v>Commercial + Facilities</x:v>
      </x:c>
      <x:c r="L6" s="12" t="str">
        <x:v>Open</x:v>
      </x:c>
    </x:row>
    <x:row r="7" ht="15" hidden="0" customHeight="1">
      <x:c r="A7" s="11" t="str">
        <x:v>T31-03</x:v>
      </x:c>
      <x:c r="B7" s="11" t="str">
        <x:v>Certificates</x:v>
      </x:c>
      <x:c r="C7" s="11" t="str">
        <x:v>OFF-DEMO-A</x:v>
      </x:c>
      <x:c r="D7" s="13" t="str">
        <x:v>Valid transfer + replacement</x:v>
      </x:c>
      <x:c r="E7" s="13" t="str">
        <x:v>Bundled and reconciled</x:v>
      </x:c>
      <x:c r="F7" s="13" t="str">
        <x:v>Timing mechanics</x:v>
      </x:c>
      <x:c r="G7" s="13" t="str">
        <x:v>Double claim / no replacement</x:v>
      </x:c>
      <x:c r="H7" s="11" t="str">
        <x:v>RE100 boundary pending</x:v>
      </x:c>
      <x:c r="I7" s="11" t="str">
        <x:v>TBD</x:v>
      </x:c>
      <x:c r="J7" s="11" t="str">
        <x:v>Open</x:v>
      </x:c>
      <x:c r="K7" s="11" t="str">
        <x:v>Sustainability + Legal</x:v>
      </x:c>
      <x:c r="L7" s="11" t="str">
        <x:v>Open</x:v>
      </x:c>
    </x:row>
    <x:row r="8" ht="15" hidden="0" customHeight="1">
      <x:c r="A8" s="12" t="str">
        <x:v>T31-04</x:v>
      </x:c>
      <x:c r="B8" s="12" t="str">
        <x:v>Price / index</x:v>
      </x:c>
      <x:c r="C8" s="12" t="str">
        <x:v>OFF-DEMO-A</x:v>
      </x:c>
      <x:c r="D8" s="13" t="str">
        <x:v>Reconciled components</x:v>
      </x:c>
      <x:c r="E8" s="13" t="str">
        <x:v>Risk-adjusted value</x:v>
      </x:c>
      <x:c r="F8" s="13" t="str">
        <x:v>Cap / floor design</x:v>
      </x:c>
      <x:c r="G8" s="13" t="str">
        <x:v>Opaque pass-through</x:v>
      </x:c>
      <x:c r="H8" s="12" t="str">
        <x:v>2.6 normalization</x:v>
      </x:c>
      <x:c r="I8" s="12" t="str">
        <x:v>Demo price only</x:v>
      </x:c>
      <x:c r="J8" s="12" t="str">
        <x:v>Open</x:v>
      </x:c>
      <x:c r="K8" s="12" t="str">
        <x:v>Finance + Procurement</x:v>
      </x:c>
      <x:c r="L8" s="12" t="str">
        <x:v>Open</x:v>
      </x:c>
    </x:row>
    <x:row r="9" ht="15" hidden="0" customHeight="1">
      <x:c r="A9" s="11" t="str">
        <x:v>T31-05</x:v>
      </x:c>
      <x:c r="B9" s="11" t="str">
        <x:v>Credit support</x:v>
      </x:c>
      <x:c r="C9" s="11" t="str">
        <x:v>OFF-DEMO-A</x:v>
      </x:c>
      <x:c r="D9" s="13" t="str">
        <x:v>Proportionate security</x:v>
      </x:c>
      <x:c r="E9" s="13" t="str">
        <x:v>Parent support if needed</x:v>
      </x:c>
      <x:c r="F9" s="13" t="str">
        <x:v>Threshold / cure</x:v>
      </x:c>
      <x:c r="G9" s="13" t="str">
        <x:v>Unbounded buyer exposure</x:v>
      </x:c>
      <x:c r="H9" s="11" t="str">
        <x:v>2.6 DD risk</x:v>
      </x:c>
      <x:c r="I9" s="11" t="str">
        <x:v>TBD</x:v>
      </x:c>
      <x:c r="J9" s="11" t="str">
        <x:v>Open</x:v>
      </x:c>
      <x:c r="K9" s="11" t="str">
        <x:v>Finance + Legal</x:v>
      </x:c>
      <x:c r="L9" s="11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07b4de6ab81d44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30" hidden="0" customWidth="1"/>
    <x:col min="4" max="4" width="34" hidden="0" customWidth="1"/>
    <x:col min="5" max="5" width="34" hidden="0" customWidth="1"/>
    <x:col min="6" max="6" width="26" hidden="0" customWidth="1"/>
    <x:col min="7" max="7" width="42" hidden="0" customWidth="1"/>
    <x:col min="8" max="8" width="40" hidden="0" customWidth="1"/>
    <x:col min="9" max="9" width="22" hidden="0" customWidth="1"/>
  </x:cols>
  <x:sheetData>
    <x:row r="2" ht="15" hidden="0" customHeight="1">
      <x:c r="A2" s="16" t="str">
        <x:v>Negotiation and approval authority — TBD WITH CLIENT</x:v>
      </x:c>
      <x:c r="B2" s="17"/>
      <x:c r="C2" s="17"/>
      <x:c r="D2" s="17"/>
      <x:c r="E2" s="17"/>
      <x:c r="F2" s="17"/>
      <x:c r="G2" s="17"/>
      <x:c r="H2" s="17"/>
      <x:c r="I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15" hidden="0" customHeight="1">
      <x:c r="A4" s="19" t="str">
        <x:v>Decision / term</x:v>
      </x:c>
      <x:c r="B4" s="19" t="str">
        <x:v>Prepare</x:v>
      </x:c>
      <x:c r="C4" s="19" t="str">
        <x:v>Recommend</x:v>
      </x:c>
      <x:c r="D4" s="19" t="str">
        <x:v>Approve</x:v>
      </x:c>
      <x:c r="E4" s="19" t="str">
        <x:v>Consult</x:v>
      </x:c>
      <x:c r="F4" s="19" t="str">
        <x:v>Inform</x:v>
      </x:c>
      <x:c r="G4" s="19" t="str">
        <x:v>Evidence needed</x:v>
      </x:c>
      <x:c r="H4" s="19" t="str">
        <x:v>Escalation trigger</x:v>
      </x:c>
      <x:c r="I4" s="19" t="str">
        <x:v>Status</x:v>
      </x:c>
    </x:row>
    <x:row r="5" ht="15" hidden="0" customHeight="1">
      <x:c r="A5" s="11" t="str">
        <x:v>Negotiation mandate</x:v>
      </x:c>
      <x:c r="B5" s="11" t="str">
        <x:v>Optimum / Procurement</x:v>
      </x:c>
      <x:c r="C5" s="11" t="str">
        <x:v>Project Lead</x:v>
      </x:c>
      <x:c r="D5" s="11" t="str">
        <x:v>Client decision body — TBD</x:v>
      </x:c>
      <x:c r="E5" s="11" t="str">
        <x:v>Finance / Legal / Sustainability</x:v>
      </x:c>
      <x:c r="F5" s="11" t="str">
        <x:v>Relevant sites</x:v>
      </x:c>
      <x:c r="G5" s="11" t="str">
        <x:v>Approved term hierarchy</x:v>
      </x:c>
      <x:c r="H5" s="11" t="str">
        <x:v>Any must-have change</x:v>
      </x:c>
      <x:c r="I5" s="11" t="str">
        <x:v>TBD WITH CLIENT</x:v>
      </x:c>
    </x:row>
    <x:row r="6" ht="15" hidden="0" customHeight="1">
      <x:c r="A6" s="12" t="str">
        <x:v>Price movement</x:v>
      </x:c>
      <x:c r="B6" s="12" t="str">
        <x:v>Commercial Lead</x:v>
      </x:c>
      <x:c r="C6" s="12" t="str">
        <x:v>Finance + Procurement</x:v>
      </x:c>
      <x:c r="D6" s="12" t="str">
        <x:v>Budget authority — TBD</x:v>
      </x:c>
      <x:c r="E6" s="12" t="str">
        <x:v>Sponsor</x:v>
      </x:c>
      <x:c r="F6" s="12" t="str">
        <x:v>Project team</x:v>
      </x:c>
      <x:c r="G6" s="12" t="str">
        <x:v>Scenario impact</x:v>
      </x:c>
      <x:c r="H6" s="12" t="str">
        <x:v>Outside approved band</x:v>
      </x:c>
      <x:c r="I6" s="12" t="str">
        <x:v>TBD WITH CLIENT</x:v>
      </x:c>
    </x:row>
    <x:row r="7" ht="15" hidden="0" customHeight="1">
      <x:c r="A7" s="11" t="str">
        <x:v>Risk acceptance</x:v>
      </x:c>
      <x:c r="B7" s="11" t="str">
        <x:v>Issue owner</x:v>
      </x:c>
      <x:c r="C7" s="11" t="str">
        <x:v>Project Lead</x:v>
      </x:c>
      <x:c r="D7" s="11" t="str">
        <x:v>Named risk acceptor — TBD</x:v>
      </x:c>
      <x:c r="E7" s="11" t="str">
        <x:v>Legal / specialist</x:v>
      </x:c>
      <x:c r="F7" s="11" t="str">
        <x:v>Decision log owner</x:v>
      </x:c>
      <x:c r="G7" s="11" t="str">
        <x:v>Residual risk + mitigation</x:v>
      </x:c>
      <x:c r="H7" s="11" t="str">
        <x:v>High / irreversible risk</x:v>
      </x:c>
      <x:c r="I7" s="11" t="str">
        <x:v>TBD WITH CLIENT</x:v>
      </x:c>
    </x:row>
    <x:row r="8" ht="15" hidden="0" customHeight="1">
      <x:c r="A8" s="12" t="str">
        <x:v>Preferred counterparty</x:v>
      </x:c>
      <x:c r="B8" s="12" t="str">
        <x:v>Evaluation Lead</x:v>
      </x:c>
      <x:c r="C8" s="12" t="str">
        <x:v>Steering group — TBD</x:v>
      </x:c>
      <x:c r="D8" s="12" t="str">
        <x:v>Authorized body — TBD</x:v>
      </x:c>
      <x:c r="E8" s="12" t="str">
        <x:v>Procurement / Finance / Legal</x:v>
      </x:c>
      <x:c r="F8" s="12" t="str">
        <x:v>Bidders per protocol</x:v>
      </x:c>
      <x:c r="G8" s="12" t="str">
        <x:v>2.6 + 3.4 pack</x:v>
      </x:c>
      <x:c r="H8" s="12" t="str">
        <x:v>Conflict / criteria change</x:v>
      </x:c>
      <x:c r="I8" s="12" t="str">
        <x:v>TBD WITH CLIENT</x:v>
      </x:c>
    </x:row>
  </x:sheetData>
  <x:pageMargins left="0.7" right="0.7" top="0.75" bottom="0.75" header="0.3" footer="0.3"/>
  <x:tableParts count="1">
    <x:tablePart xmlns:r="http://schemas.openxmlformats.org/officeDocument/2006/relationships" r:id="R32e80e39a5f043c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6" hidden="0" customWidth="1"/>
    <x:col min="5" max="5" width="36" hidden="0" customWidth="1"/>
    <x:col min="6" max="6" width="36" hidden="0" customWidth="1"/>
    <x:col min="7" max="7" width="46" hidden="0" customWidth="1"/>
    <x:col min="8" max="8" width="26" hidden="0" customWidth="1"/>
    <x:col min="9" max="9" width="22" hidden="0" customWidth="1"/>
    <x:col min="10" max="10" width="16" hidden="0" customWidth="1"/>
  </x:cols>
  <x:sheetData>
    <x:row r="2" ht="15" hidden="0" customHeight="1">
      <x:c r="A2" s="16" t="str">
        <x:v>Commercial alignment issue list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15" hidden="0" customHeight="1">
      <x:c r="A4" s="19" t="str">
        <x:v>Issue ID</x:v>
      </x:c>
      <x:c r="B4" s="19" t="str">
        <x:v>Linked term</x:v>
      </x:c>
      <x:c r="C4" s="19" t="str">
        <x:v>Issue / question</x:v>
      </x:c>
      <x:c r="D4" s="19" t="str">
        <x:v>Priority</x:v>
      </x:c>
      <x:c r="E4" s="19" t="str">
        <x:v>Commercial impact</x:v>
      </x:c>
      <x:c r="F4" s="19" t="str">
        <x:v>Legal / specialist need</x:v>
      </x:c>
      <x:c r="G4" s="19" t="str">
        <x:v>Proposed position</x:v>
      </x:c>
      <x:c r="H4" s="19" t="str">
        <x:v>Owner</x:v>
      </x:c>
      <x:c r="I4" s="19" t="str">
        <x:v>Due / gate</x:v>
      </x:c>
      <x:c r="J4" s="19" t="str">
        <x:v>Status</x:v>
      </x:c>
    </x:row>
    <x:row r="5" ht="15" hidden="0" customHeight="1">
      <x:c r="A5" s="11" t="str">
        <x:v>I31-01</x:v>
      </x:c>
      <x:c r="B5" s="11" t="str">
        <x:v>T31-01</x:v>
      </x:c>
      <x:c r="C5" s="11" t="str">
        <x:v>Can offered volume be evidenced and allocated?</x:v>
      </x:c>
      <x:c r="D5" s="11" t="str">
        <x:v>High</x:v>
      </x:c>
      <x:c r="E5" s="11" t="str">
        <x:v>Coverage and concentration</x:v>
      </x:c>
      <x:c r="F5" s="11" t="str">
        <x:v>Project / supplier DD</x:v>
      </x:c>
      <x:c r="G5" s="11" t="str">
        <x:v>Require asset / allocation evidence</x:v>
      </x:c>
      <x:c r="H5" s="11" t="str">
        <x:v>DD Lead</x:v>
      </x:c>
      <x:c r="I5" s="11" t="str">
        <x:v>Before mandate</x:v>
      </x:c>
      <x:c r="J5" s="11" t="str">
        <x:v>Open</x:v>
      </x:c>
    </x:row>
    <x:row r="6" ht="15" hidden="0" customHeight="1">
      <x:c r="A6" s="12" t="str">
        <x:v>I31-02</x:v>
      </x:c>
      <x:c r="B6" s="12" t="str">
        <x:v>T31-02</x:v>
      </x:c>
      <x:c r="C6" s="12" t="str">
        <x:v>What happens if start / COD slips?</x:v>
      </x:c>
      <x:c r="D6" s="12" t="str">
        <x:v>High</x:v>
      </x:c>
      <x:c r="E6" s="12" t="str">
        <x:v>Gap volume and bridge cost</x:v>
      </x:c>
      <x:c r="F6" s="12" t="str">
        <x:v>Contract counsel</x:v>
      </x:c>
      <x:c r="G6" s="12" t="str">
        <x:v>Longstop + remedy + fallback</x:v>
      </x:c>
      <x:c r="H6" s="12" t="str">
        <x:v>Commercial Lead</x:v>
      </x:c>
      <x:c r="I6" s="12" t="str">
        <x:v>Before 3.2</x:v>
      </x:c>
      <x:c r="J6" s="12" t="str">
        <x:v>Open</x:v>
      </x:c>
    </x:row>
    <x:row r="7" ht="15" hidden="0" customHeight="1">
      <x:c r="A7" s="11" t="str">
        <x:v>I31-03</x:v>
      </x:c>
      <x:c r="B7" s="11" t="str">
        <x:v>T31-03</x:v>
      </x:c>
      <x:c r="C7" s="11" t="str">
        <x:v>Who owns invalid / late certificate risk?</x:v>
      </x:c>
      <x:c r="D7" s="11" t="str">
        <x:v>High</x:v>
      </x:c>
      <x:c r="E7" s="11" t="str">
        <x:v>Claim validity</x:v>
      </x:c>
      <x:c r="F7" s="11" t="str">
        <x:v>Policy + contract counsel</x:v>
      </x:c>
      <x:c r="G7" s="11" t="str">
        <x:v>Replacement / indemnity concept</x:v>
      </x:c>
      <x:c r="H7" s="11" t="str">
        <x:v>Sustainability</x:v>
      </x:c>
      <x:c r="I7" s="11" t="str">
        <x:v>Before 3.2</x:v>
      </x:c>
      <x:c r="J7" s="11" t="str">
        <x:v>Open</x:v>
      </x:c>
    </x:row>
    <x:row r="8" ht="15" hidden="0" customHeight="1">
      <x:c r="A8" s="12" t="str">
        <x:v>I31-04</x:v>
      </x:c>
      <x:c r="B8" s="12" t="str">
        <x:v>T31-04</x:v>
      </x:c>
      <x:c r="C8" s="12" t="str">
        <x:v>Which price components may change?</x:v>
      </x:c>
      <x:c r="D8" s="12" t="str">
        <x:v>High</x:v>
      </x:c>
      <x:c r="E8" s="12" t="str">
        <x:v>Budget uncertainty</x:v>
      </x:c>
      <x:c r="F8" s="12" t="str">
        <x:v>Finance / tariff research</x:v>
      </x:c>
      <x:c r="G8" s="12" t="str">
        <x:v>Define index, cap / floor, pass-through</x:v>
      </x:c>
      <x:c r="H8" s="12" t="str">
        <x:v>Finance</x:v>
      </x:c>
      <x:c r="I8" s="12" t="str">
        <x:v>Before negotiation</x:v>
      </x:c>
      <x:c r="J8" s="12" t="str">
        <x:v>Open</x:v>
      </x:c>
    </x:row>
    <x:row r="9" ht="15" hidden="0" customHeight="1">
      <x:c r="A9" s="11" t="str">
        <x:v>I31-05</x:v>
      </x:c>
      <x:c r="B9" s="11" t="str">
        <x:v>T31-05</x:v>
      </x:c>
      <x:c r="C9" s="11" t="str">
        <x:v>What security is proportionate?</x:v>
      </x:c>
      <x:c r="D9" s="11" t="str">
        <x:v>Medium</x:v>
      </x:c>
      <x:c r="E9" s="11" t="str">
        <x:v>Liquidity / credit exposure</x:v>
      </x:c>
      <x:c r="F9" s="11" t="str">
        <x:v>Finance + counsel</x:v>
      </x:c>
      <x:c r="G9" s="11" t="str">
        <x:v>Set threshold and cure logic</x:v>
      </x:c>
      <x:c r="H9" s="11" t="str">
        <x:v>Finance</x:v>
      </x:c>
      <x:c r="I9" s="11" t="str">
        <x:v>Before 3.3</x:v>
      </x:c>
      <x:c r="J9" s="11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4f6f0107ba8e4ab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52" hidden="0" customWidth="1"/>
    <x:col min="4" max="4" width="48" hidden="0" customWidth="1"/>
    <x:col min="5" max="5" width="28" hidden="0" customWidth="1"/>
    <x:col min="6" max="6" width="18" hidden="0" customWidth="1"/>
    <x:col min="7" max="7" width="20" hidden="0" customWidth="1"/>
    <x:col min="8" max="8" width="26" hidden="0" customWidth="1"/>
  </x:cols>
  <x:sheetData>
    <x:row r="2" ht="15" hidden="0" customHeight="1">
      <x:c r="A2" s="16" t="str">
        <x:v>G8 commercial alignment summary — demo</x:v>
      </x:c>
      <x:c r="B2" s="17"/>
      <x:c r="C2" s="17"/>
      <x:c r="D2" s="17"/>
      <x:c r="E2" s="17"/>
      <x:c r="F2" s="17"/>
      <x:c r="G2" s="17"/>
      <x:c r="H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</x:row>
    <x:row r="4" ht="15" hidden="0" customHeight="1">
      <x:c r="A4" s="19" t="str">
        <x:v>Metric</x:v>
      </x:c>
      <x:c r="B4" s="19" t="str">
        <x:v>Value</x:v>
      </x:c>
      <x:c r="C4" s="19" t="str">
        <x:v>Interpretation</x:v>
      </x:c>
      <x:c r="D4" s="19" t="str">
        <x:v>Decision / action</x:v>
      </x:c>
      <x:c r="E4" s="19" t="str">
        <x:v>Owner</x:v>
      </x:c>
      <x:c r="F4" s="19" t="str">
        <x:v>Due</x:v>
      </x:c>
      <x:c r="G4" s="19" t="str">
        <x:v>Status</x:v>
      </x:c>
      <x:c r="H4" s="19" t="str">
        <x:v>Truth status</x:v>
      </x:c>
    </x:row>
    <x:row r="5" ht="15" hidden="0" customHeight="1">
      <x:c r="A5" s="11" t="str">
        <x:v>Open assumptions</x:v>
      </x:c>
      <x:c r="B5" s="11" t="n">
        <x:f>COUNTIF(Assumptions!J5:J9,"Open")</x:f>
        <x:v>5</x:v>
      </x:c>
      <x:c r="C5" s="11" t="str">
        <x:v>Replace client-specific unknowns</x:v>
      </x:c>
      <x:c r="D5" s="11" t="str">
        <x:v>Confirm owners and evidence</x:v>
      </x:c>
      <x:c r="E5" s="11" t="str">
        <x:v>Project Lead</x:v>
      </x:c>
      <x:c r="F5" s="11" t="str">
        <x:v>TBD</x:v>
      </x:c>
      <x:c r="G5" s="11" t="str">
        <x:v>Open</x:v>
      </x:c>
      <x:c r="H5" s="11" t="str">
        <x:v>Formula</x:v>
      </x:c>
    </x:row>
    <x:row r="6" ht="15" hidden="0" customHeight="1">
      <x:c r="A6" s="12" t="str">
        <x:v>Open issues</x:v>
      </x:c>
      <x:c r="B6" s="12" t="n">
        <x:f>COUNTIF('Issue List'!J5:J9,"Open")</x:f>
        <x:v>5</x:v>
      </x:c>
      <x:c r="C6" s="12" t="str">
        <x:v>No negotiation mandate until high issues owned</x:v>
      </x:c>
      <x:c r="D6" s="12" t="str">
        <x:v>Resolve / condition / escalate</x:v>
      </x:c>
      <x:c r="E6" s="12" t="str">
        <x:v>Commercial Lead</x:v>
      </x:c>
      <x:c r="F6" s="12" t="str">
        <x:v>TBD</x:v>
      </x:c>
      <x:c r="G6" s="12" t="str">
        <x:v>Open</x:v>
      </x:c>
      <x:c r="H6" s="12" t="str">
        <x:v>Formula</x:v>
      </x:c>
    </x:row>
    <x:row r="7" ht="15" hidden="0" customHeight="1">
      <x:c r="A7" s="11" t="str">
        <x:v>Authority rows TBD</x:v>
      </x:c>
      <x:c r="B7" s="11" t="n">
        <x:f>COUNTIF('Authority Matrix'!I5:I8,"TBD WITH CLIENT")</x:f>
        <x:v>4</x:v>
      </x:c>
      <x:c r="C7" s="11" t="str">
        <x:v>Decision rights not yet validated</x:v>
      </x:c>
      <x:c r="D7" s="11" t="str">
        <x:v>Approve authority matrix</x:v>
      </x:c>
      <x:c r="E7" s="11" t="str">
        <x:v>Sponsor</x:v>
      </x:c>
      <x:c r="F7" s="11" t="str">
        <x:v>TBD</x:v>
      </x:c>
      <x:c r="G7" s="11" t="str">
        <x:v>Open</x:v>
      </x:c>
      <x:c r="H7" s="11" t="str">
        <x:v>Formula</x:v>
      </x:c>
    </x:row>
    <x:row r="8" ht="15" hidden="0" customHeight="1">
      <x:c r="A8" s="12" t="str">
        <x:v>Recommended gate</x:v>
      </x:c>
      <x:c r="B8" s="12" t="str">
        <x:v>CONDITIONAL</x:v>
      </x:c>
      <x:c r="C8" s="12" t="str">
        <x:v>Proceed to 3.2 only with controlled assumptions</x:v>
      </x:c>
      <x:c r="D8" s="12" t="str">
        <x:v>Approve / condition / defer</x:v>
      </x:c>
      <x:c r="E8" s="12" t="str">
        <x:v>Decision body — TBD</x:v>
      </x:c>
      <x:c r="F8" s="12" t="str">
        <x:v>TBD</x:v>
      </x:c>
      <x:c r="G8" s="12" t="str">
        <x:v>TBD WITH CLIENT</x:v>
      </x:c>
      <x:c r="H8" s="12" t="str">
        <x:v>HYPOTHESIS</x:v>
      </x:c>
    </x:row>
  </x:sheetData>
  <x:pageMargins left="0.7" right="0.7" top="0.75" bottom="0.75" header="0.3" footer="0.3"/>
  <x:tableParts count="1">
    <x:tablePart xmlns:r="http://schemas.openxmlformats.org/officeDocument/2006/relationships" r:id="R830dae4f5ed3412e"/>
  </x:tableParts>
</x:worksheet>
</file>