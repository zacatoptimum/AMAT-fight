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46edfb66fc42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d0f0c388ed314def"/>
    <x:sheet xmlns:r="http://schemas.openxmlformats.org/officeDocument/2006/relationships" name="Options" sheetId="2" r:id="Re365276e8d324f99"/>
    <x:sheet xmlns:r="http://schemas.openxmlformats.org/officeDocument/2006/relationships" name="Scenario" sheetId="3" r:id="Rf3dca6906b8b4eb8"/>
    <x:sheet xmlns:r="http://schemas.openxmlformats.org/officeDocument/2006/relationships" name="Criteria Scores" sheetId="4" r:id="R38458c202e8549df"/>
    <x:sheet xmlns:r="http://schemas.openxmlformats.org/officeDocument/2006/relationships" name="Decision Brief" sheetId="5" r:id="R3d2d45abcbe348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%"/>
    <x:numFmt numFmtId="202" formatCode="0.00"/>
  </x:numFmts>
  <x:fonts count="5">
    <x:font>
      <x:sz val="11"/>
      <x:name val="Carlito"/>
    </x:font>
    <x:font>
      <x:b/>
      <x:sz val="14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</x:fills>
  <x:borders count="4">
    <x:border/>
    <x:border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/>
    <x:xf numFmtId="0" fontId="3" fillId="0" borderId="3" xfId="0" applyNumberFormat="1" applyFont="1" applyFill="1" applyBorder="1"/>
    <x:xf numFmtId="0" fontId="3" fillId="0" borderId="3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200" fontId="3" fillId="4" borderId="3" xfId="0" applyNumberFormat="1" applyFont="1" applyFill="1" applyBorder="1" applyAlignment="1">
      <x:alignment vertical="center" wrapText="1"/>
    </x:xf>
    <x:xf numFmtId="201" fontId="3" fillId="4" borderId="3" xfId="0" applyNumberFormat="1" applyFont="1" applyFill="1" applyBorder="1" applyAlignment="1">
      <x:alignment vertical="center" wrapText="1"/>
    </x:xf>
    <x:xf numFmtId="200" fontId="3" fillId="0" borderId="3" xfId="0" applyNumberFormat="1" applyFont="1" applyFill="1" applyBorder="1" applyAlignment="1">
      <x:alignment vertical="center" wrapText="1"/>
    </x:xf>
    <x:xf numFmtId="200" fontId="3" fillId="3" borderId="3" xfId="0" applyNumberFormat="1" applyFont="1" applyFill="1" applyBorder="1" applyAlignment="1">
      <x:alignment vertical="center" wrapText="1"/>
    </x:xf>
    <x:xf numFmtId="201" fontId="3" fillId="0" borderId="3" xfId="0" applyNumberFormat="1" applyFont="1" applyFill="1" applyBorder="1" applyAlignment="1">
      <x:alignment vertical="center" wrapText="1"/>
    </x:xf>
    <x:xf numFmtId="201" fontId="3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202" fontId="3" fillId="0" borderId="3" xfId="0" applyNumberFormat="1" applyFont="1" applyFill="1" applyBorder="1" applyAlignment="1">
      <x:alignment vertical="center" wrapText="1"/>
    </x:xf>
    <x:xf numFmtId="202" fontId="3" fillId="3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201" fontId="3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107ed87bf04acb" /><Relationship Type="http://schemas.openxmlformats.org/officeDocument/2006/relationships/theme" Target="/xl/theme/theme1.xml" Id="R8a7749a8718e4b8d" /><Relationship Type="http://schemas.openxmlformats.org/officeDocument/2006/relationships/sharedStrings" Target="/xl/sharedStrings.xml" Id="Rc65e9432029a4bb6" /><Relationship Type="http://schemas.openxmlformats.org/officeDocument/2006/relationships/worksheet" Target="/xl/worksheets/sheet1.xml" Id="Rd0f0c388ed314def" /><Relationship Type="http://schemas.openxmlformats.org/officeDocument/2006/relationships/worksheet" Target="/xl/worksheets/sheet2.xml" Id="Re365276e8d324f99" /><Relationship Type="http://schemas.openxmlformats.org/officeDocument/2006/relationships/worksheet" Target="/xl/worksheets/sheet3.xml" Id="Rf3dca6906b8b4eb8" /><Relationship Type="http://schemas.openxmlformats.org/officeDocument/2006/relationships/worksheet" Target="/xl/worksheets/sheet4.xml" Id="R38458c202e8549df" /><Relationship Type="http://schemas.openxmlformats.org/officeDocument/2006/relationships/worksheet" Target="/xl/worksheets/sheet5.xml" Id="R3d2d45abcbe34839" /></Relationships>
</file>

<file path=xl/tables/table1.xml><?xml version="1.0" encoding="utf-8"?>
<x:table xmlns:x="http://schemas.openxmlformats.org/spreadsheetml/2006/main" id="1" name="ShortInstructionTable" displayName="ShortInstructionTable" ref="A4:F7" headerRowCount="1" totalsRowCount="0" totalsRowShown="0">
  <x:tableColumns count="6">
    <x:tableColumn id="1" name="Rule"/>
    <x:tableColumn id="2" name="Practice"/>
    <x:tableColumn id="3" name="Why"/>
    <x:tableColumn id="4" name="Status"/>
    <x:tableColumn id="5" name="Owner"/>
    <x:tableColumn id="6" name="Decis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hortOptionsTable" displayName="ShortOptionsTable" ref="A4:O7" headerRowCount="1" totalsRowCount="0" totalsRowShown="0">
  <x:tableColumns count="15">
    <x:tableColumn id="1" name="Option ID"/>
    <x:tableColumn id="2" name="Archetype"/>
    <x:tableColumn id="3" name="Eligibility"/>
    <x:tableColumn id="4" name="Availability"/>
    <x:tableColumn id="5" name="Start year"/>
    <x:tableColumn id="6" name="End year"/>
    <x:tableColumn id="7" name="Max MWh / yr"/>
    <x:tableColumn id="8" name="Unit cost NTD/MWh"/>
    <x:tableColumn id="9" name="One-off NTD"/>
    <x:tableColumn id="10" name="Technology"/>
    <x:tableColumn id="11" name="Certificate"/>
    <x:tableColumn id="12" name="Flex %"/>
    <x:tableColumn id="13" name="Delivery risk 1–5"/>
    <x:tableColumn id="14" name="Evidence 1–5"/>
    <x:tableColumn id="15" name="Truth 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hortScenarioTable" displayName="ShortScenarioTable" ref="A4:L7" headerRowCount="1" totalsRowCount="0" totalsRowShown="0">
  <x:tableColumns count="12">
    <x:tableColumn id="1" name="Year"/>
    <x:tableColumn id="2" name="Residual gap MWh"/>
    <x:tableColumn id="3" name="Option A MWh"/>
    <x:tableColumn id="4" name="Option B MWh"/>
    <x:tableColumn id="5" name="Option C MWh"/>
    <x:tableColumn id="6" name="Total procured"/>
    <x:tableColumn id="7" name="Coverage"/>
    <x:tableColumn id="8" name="Uncovered gap"/>
    <x:tableColumn id="9" name="Total cost NTD"/>
    <x:tableColumn id="10" name="Weighted NTD/MWh"/>
    <x:tableColumn id="11" name="Max concentration"/>
    <x:tableColumn id="12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hortScoreTable" displayName="ShortScoreTable" ref="A8:K11" headerRowCount="1" totalsRowCount="0" totalsRowShown="0">
  <x:tableColumns count="11">
    <x:tableColumn id="1" name="Option ID"/>
    <x:tableColumn id="2" name="Timing / volume"/>
    <x:tableColumn id="3" name="Cost"/>
    <x:tableColumn id="4" name="Flexibility"/>
    <x:tableColumn id="5" name="Certificate"/>
    <x:tableColumn id="6" name="Delivery"/>
    <x:tableColumn id="7" name="Evidence"/>
    <x:tableColumn id="8" name="Transition fit"/>
    <x:tableColumn id="9" name="Weighted score"/>
    <x:tableColumn id="10" name="Hard-screen"/>
    <x:tableColumn id="11" name="Recommenda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hortDecisionTable" displayName="ShortDecisionTable" ref="A4:G7" headerRowCount="1" totalsRowCount="0" totalsRowShown="0">
  <x:tableColumns count="7">
    <x:tableColumn id="1" name="Question"/>
    <x:tableColumn id="2" name="Demo output"/>
    <x:tableColumn id="3" name="Evidence boundary"/>
    <x:tableColumn id="4" name="Decision required"/>
    <x:tableColumn id="5" name="Owner"/>
    <x:tableColumn id="6" name="Due"/>
    <x:tableColumn id="7" name="Downstrea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68491900e1447f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769ffe4a6044a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43c3ba7d8f844f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886ba697a70454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b9a4baeeeb04bc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58" hidden="0" customWidth="1"/>
    <x:col min="3" max="3" width="44" hidden="0" customWidth="1"/>
    <x:col min="4" max="4" width="28" hidden="0" customWidth="1"/>
    <x:col min="5" max="5" width="28" hidden="0" customWidth="1"/>
    <x:col min="6" max="6" width="28" hidden="0" customWidth="1"/>
  </x:cols>
  <x:sheetData>
    <x:row r="2" ht="15" hidden="0" customHeight="1">
      <x:c r="A2" s="26" t="str">
        <x:v>Short-term option model — controls</x:v>
      </x:c>
      <x:c r="B2" s="27"/>
      <x:c r="C2" s="27"/>
      <x:c r="D2" s="27"/>
      <x:c r="E2" s="27"/>
      <x:c r="F2" s="27"/>
    </x:row>
    <x:row r="3" ht="15" hidden="0" customHeight="1">
      <x:c r="A3" s="28"/>
      <x:c r="B3" s="28"/>
      <x:c r="C3" s="28"/>
      <x:c r="D3" s="28"/>
      <x:c r="E3" s="28"/>
      <x:c r="F3" s="28"/>
    </x:row>
    <x:row r="4" ht="15" hidden="0" customHeight="1">
      <x:c r="A4" s="29" t="str">
        <x:v>Rule</x:v>
      </x:c>
      <x:c r="B4" s="29" t="str">
        <x:v>Practice</x:v>
      </x:c>
      <x:c r="C4" s="29" t="str">
        <x:v>Why</x:v>
      </x:c>
      <x:c r="D4" s="29" t="str">
        <x:v>Status</x:v>
      </x:c>
      <x:c r="E4" s="29" t="str">
        <x:v>Owner</x:v>
      </x:c>
      <x:c r="F4" s="29" t="str">
        <x:v>Decision</x:v>
      </x:c>
    </x:row>
    <x:row r="5" ht="15" hidden="0" customHeight="1">
      <x:c r="A5" s="11" t="str">
        <x:v>Eligibility first</x:v>
      </x:c>
      <x:c r="B5" s="11" t="str">
        <x:v>Failing claim / certificate route cannot be offset by score</x:v>
      </x:c>
      <x:c r="C5" s="11" t="str">
        <x:v>Protects RE100 / policy intent</x:v>
      </x:c>
      <x:c r="D5" s="11" t="str">
        <x:v>TBD WITH CLIENT</x:v>
      </x:c>
      <x:c r="E5" s="11" t="str">
        <x:v>Sustainability / Legal</x:v>
      </x:c>
      <x:c r="F5" s="11" t="str">
        <x:v>Proceed / reject</x:v>
      </x:c>
    </x:row>
    <x:row r="6" ht="15" hidden="0" customHeight="1">
      <x:c r="A6" s="12" t="str">
        <x:v>Bridge only</x:v>
      </x:c>
      <x:c r="B6" s="12" t="str">
        <x:v>Link volume and expiry to residual gap and long-term transition</x:v>
      </x:c>
      <x:c r="C6" s="12" t="str">
        <x:v>Avoids permanent dependency</x:v>
      </x:c>
      <x:c r="D6" s="12" t="str">
        <x:v>HYPOTHESIS</x:v>
      </x:c>
      <x:c r="E6" s="12" t="str">
        <x:v>Project Lead</x:v>
      </x:c>
      <x:c r="F6" s="12" t="str">
        <x:v>Volume / tenor</x:v>
      </x:c>
    </x:row>
    <x:row r="7" ht="15" hidden="0" customHeight="1">
      <x:c r="A7" s="11" t="str">
        <x:v>Price range</x:v>
      </x:c>
      <x:c r="B7" s="11" t="str">
        <x:v>Separate components; blank is unknown</x:v>
      </x:c>
      <x:c r="C7" s="11" t="str">
        <x:v>Avoids false precision</x:v>
      </x:c>
      <x:c r="D7" s="11" t="str">
        <x:v>SYNTHETIC / DEMO DATA</x:v>
      </x:c>
      <x:c r="E7" s="11" t="str">
        <x:v>Analyst</x:v>
      </x:c>
      <x:c r="F7" s="11" t="str">
        <x:v>Budget range</x:v>
      </x:c>
    </x:row>
  </x:sheetData>
  <x:pageMargins left="0.7" right="0.7" top="0.75" bottom="0.75" header="0.3" footer="0.3"/>
  <x:tableParts count="1">
    <x:tablePart xmlns:r="http://schemas.openxmlformats.org/officeDocument/2006/relationships" r:id="Ra68491900e1447f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6" hidden="0" customWidth="1"/>
    <x:col min="4" max="4" width="18" hidden="0" customWidth="1"/>
    <x:col min="5" max="5" width="16" hidden="0" customWidth="1"/>
    <x:col min="6" max="6" width="16" hidden="0" customWidth="1"/>
    <x:col min="7" max="7" width="20" hidden="0" customWidth="1"/>
    <x:col min="8" max="8" width="22" hidden="0" customWidth="1"/>
    <x:col min="9" max="9" width="18" hidden="0" customWidth="1"/>
    <x:col min="10" max="10" width="20" hidden="0" customWidth="1"/>
    <x:col min="11" max="11" width="26" hidden="0" customWidth="1"/>
    <x:col min="12" max="12" width="16" hidden="0" customWidth="1"/>
    <x:col min="13" max="13" width="22" hidden="0" customWidth="1"/>
    <x:col min="14" max="14" width="18" hidden="0" customWidth="1"/>
    <x:col min="15" max="15" width="26" hidden="0" customWidth="1"/>
  </x:cols>
  <x:sheetData>
    <x:row r="2" ht="15" hidden="0" customHeight="1">
      <x:c r="A2" s="26" t="str">
        <x:v>Short-term option inputs — synthetic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</x:row>
    <x:row r="3" ht="15" hidden="0" customHeight="1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</x:row>
    <x:row r="4" ht="15" hidden="0" customHeight="1">
      <x:c r="A4" s="29" t="str">
        <x:v>Option ID</x:v>
      </x:c>
      <x:c r="B4" s="29" t="str">
        <x:v>Archetype</x:v>
      </x:c>
      <x:c r="C4" s="29" t="str">
        <x:v>Eligibility</x:v>
      </x:c>
      <x:c r="D4" s="29" t="str">
        <x:v>Availability</x:v>
      </x:c>
      <x:c r="E4" s="29" t="str">
        <x:v>Start year</x:v>
      </x:c>
      <x:c r="F4" s="29" t="str">
        <x:v>End year</x:v>
      </x:c>
      <x:c r="G4" s="29" t="str">
        <x:v>Max MWh / yr</x:v>
      </x:c>
      <x:c r="H4" s="29" t="str">
        <x:v>Unit cost NTD/MWh</x:v>
      </x:c>
      <x:c r="I4" s="29" t="str">
        <x:v>One-off NTD</x:v>
      </x:c>
      <x:c r="J4" s="29" t="str">
        <x:v>Technology</x:v>
      </x:c>
      <x:c r="K4" s="29" t="str">
        <x:v>Certificate</x:v>
      </x:c>
      <x:c r="L4" s="29" t="str">
        <x:v>Flex %</x:v>
      </x:c>
      <x:c r="M4" s="29" t="str">
        <x:v>Delivery risk 1–5</x:v>
      </x:c>
      <x:c r="N4" s="29" t="str">
        <x:v>Evidence 1–5</x:v>
      </x:c>
      <x:c r="O4" s="29" t="str">
        <x:v>Truth status</x:v>
      </x:c>
    </x:row>
    <x:row r="5" ht="15" hidden="0" customHeight="1">
      <x:c r="A5" s="11" t="str">
        <x:v>OPT-DEMO-A</x:v>
      </x:c>
      <x:c r="B5" s="11" t="str">
        <x:v>Short bundled supply</x:v>
      </x:c>
      <x:c r="C5" s="11" t="str">
        <x:v>TBD</x:v>
      </x:c>
      <x:c r="D5" s="11" t="str">
        <x:v>Unverified</x:v>
      </x:c>
      <x:c r="E5" s="13" t="n">
        <x:v>2027</x:v>
      </x:c>
      <x:c r="F5" s="13" t="n">
        <x:v>2028</x:v>
      </x:c>
      <x:c r="G5" s="14" t="n">
        <x:v>12000</x:v>
      </x:c>
      <x:c r="H5" s="14" t="n">
        <x:v>3250</x:v>
      </x:c>
      <x:c r="I5" s="14" t="n">
        <x:v>500000</x:v>
      </x:c>
      <x:c r="J5" s="13" t="str">
        <x:v>Solar demo</x:v>
      </x:c>
      <x:c r="K5" s="13" t="str">
        <x:v>Bundled / verify</x:v>
      </x:c>
      <x:c r="L5" s="15" t="n">
        <x:v>0.15</x:v>
      </x:c>
      <x:c r="M5" s="13" t="n">
        <x:v>3</x:v>
      </x:c>
      <x:c r="N5" s="13" t="n">
        <x:v>2</x:v>
      </x:c>
      <x:c r="O5" s="11" t="str">
        <x:v>SYNTHETIC / DEMO DATA</x:v>
      </x:c>
    </x:row>
    <x:row r="6" ht="15" hidden="0" customHeight="1">
      <x:c r="A6" s="12" t="str">
        <x:v>OPT-DEMO-B</x:v>
      </x:c>
      <x:c r="B6" s="12" t="str">
        <x:v>Unbundled certificate</x:v>
      </x:c>
      <x:c r="C6" s="12" t="str">
        <x:v>TBD</x:v>
      </x:c>
      <x:c r="D6" s="12" t="str">
        <x:v>Unverified</x:v>
      </x:c>
      <x:c r="E6" s="13" t="n">
        <x:v>2027</x:v>
      </x:c>
      <x:c r="F6" s="13" t="n">
        <x:v>2027</x:v>
      </x:c>
      <x:c r="G6" s="14" t="n">
        <x:v>8000</x:v>
      </x:c>
      <x:c r="H6" s="14" t="n">
        <x:v>520</x:v>
      </x:c>
      <x:c r="I6" s="14" t="n">
        <x:v>100000</x:v>
      </x:c>
      <x:c r="J6" s="13" t="str">
        <x:v>Mixed demo</x:v>
      </x:c>
      <x:c r="K6" s="13" t="str">
        <x:v>Certificate only</x:v>
      </x:c>
      <x:c r="L6" s="15" t="n">
        <x:v>0.3</x:v>
      </x:c>
      <x:c r="M6" s="13" t="n">
        <x:v>3</x:v>
      </x:c>
      <x:c r="N6" s="13" t="n">
        <x:v>2</x:v>
      </x:c>
      <x:c r="O6" s="12" t="str">
        <x:v>SYNTHETIC / DEMO DATA</x:v>
      </x:c>
    </x:row>
    <x:row r="7" ht="15" hidden="0" customHeight="1">
      <x:c r="A7" s="11" t="str">
        <x:v>OPT-DEMO-C</x:v>
      </x:c>
      <x:c r="B7" s="11" t="str">
        <x:v>Short portfolio product</x:v>
      </x:c>
      <x:c r="C7" s="11" t="str">
        <x:v>TBD</x:v>
      </x:c>
      <x:c r="D7" s="11" t="str">
        <x:v>Unverified</x:v>
      </x:c>
      <x:c r="E7" s="13" t="n">
        <x:v>2027</x:v>
      </x:c>
      <x:c r="F7" s="13" t="n">
        <x:v>2029</x:v>
      </x:c>
      <x:c r="G7" s="14" t="n">
        <x:v>15000</x:v>
      </x:c>
      <x:c r="H7" s="14" t="n">
        <x:v>3500</x:v>
      </x:c>
      <x:c r="I7" s="14" t="n">
        <x:v>800000</x:v>
      </x:c>
      <x:c r="J7" s="13" t="str">
        <x:v>Portfolio demo</x:v>
      </x:c>
      <x:c r="K7" s="13" t="str">
        <x:v>Bundled / verify</x:v>
      </x:c>
      <x:c r="L7" s="15" t="n">
        <x:v>0.2</x:v>
      </x:c>
      <x:c r="M7" s="13" t="n">
        <x:v>4</x:v>
      </x:c>
      <x:c r="N7" s="13" t="n">
        <x:v>1</x:v>
      </x:c>
      <x:c r="O7" s="11" t="str">
        <x:v>SYNTHETIC / DEMO DATA</x:v>
      </x:c>
    </x:row>
  </x:sheetData>
  <x:pageMargins left="0.7" right="0.7" top="0.75" bottom="0.75" header="0.3" footer="0.3"/>
  <x:tableParts count="1">
    <x:tablePart xmlns:r="http://schemas.openxmlformats.org/officeDocument/2006/relationships" r:id="Rb769ffe4a6044ad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16" hidden="0" customWidth="1"/>
    <x:col min="8" max="8" width="22" hidden="0" customWidth="1"/>
    <x:col min="9" max="9" width="24" hidden="0" customWidth="1"/>
    <x:col min="10" max="10" width="24" hidden="0" customWidth="1"/>
    <x:col min="11" max="11" width="22" hidden="0" customWidth="1"/>
    <x:col min="12" max="12" width="16" hidden="0" customWidth="1"/>
  </x:cols>
  <x:sheetData>
    <x:row r="2" ht="15" hidden="0" customHeight="1">
      <x:c r="A2" s="26" t="str">
        <x:v>Bridge scenario — synthetic 2027 illustration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</x:row>
    <x:row r="3" ht="15" hidden="0" customHeight="1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</x:row>
    <x:row r="4" ht="15" hidden="0" customHeight="1">
      <x:c r="A4" s="29" t="str">
        <x:v>Year</x:v>
      </x:c>
      <x:c r="B4" s="29" t="str">
        <x:v>Residual gap MWh</x:v>
      </x:c>
      <x:c r="C4" s="29" t="str">
        <x:v>Option A MWh</x:v>
      </x:c>
      <x:c r="D4" s="29" t="str">
        <x:v>Option B MWh</x:v>
      </x:c>
      <x:c r="E4" s="29" t="str">
        <x:v>Option C MWh</x:v>
      </x:c>
      <x:c r="F4" s="29" t="str">
        <x:v>Total procured</x:v>
      </x:c>
      <x:c r="G4" s="29" t="str">
        <x:v>Coverage</x:v>
      </x:c>
      <x:c r="H4" s="29" t="str">
        <x:v>Uncovered gap</x:v>
      </x:c>
      <x:c r="I4" s="29" t="str">
        <x:v>Total cost NTD</x:v>
      </x:c>
      <x:c r="J4" s="29" t="str">
        <x:v>Weighted NTD/MWh</x:v>
      </x:c>
      <x:c r="K4" s="29" t="str">
        <x:v>Max concentration</x:v>
      </x:c>
      <x:c r="L4" s="29" t="str">
        <x:v>Status</x:v>
      </x:c>
    </x:row>
    <x:row r="5" ht="15" hidden="0" customHeight="1">
      <x:c r="A5" s="11" t="n">
        <x:v>2027</x:v>
      </x:c>
      <x:c r="B5" s="14" t="n">
        <x:v>25000</x:v>
      </x:c>
      <x:c r="C5" s="14" t="n">
        <x:v>10000</x:v>
      </x:c>
      <x:c r="D5" s="14" t="n">
        <x:v>5000</x:v>
      </x:c>
      <x:c r="E5" s="14" t="n">
        <x:v>8000</x:v>
      </x:c>
      <x:c r="F5" s="16" t="n">
        <x:f>SUM(C5:E5)</x:f>
        <x:v>23000</x:v>
      </x:c>
      <x:c r="G5" s="18" t="n">
        <x:f>IF(B5=0,0,F5/B5)</x:f>
        <x:v>0.92</x:v>
      </x:c>
      <x:c r="H5" s="11" t="n">
        <x:f>MAX(0,B5-F5)</x:f>
        <x:v>2000</x:v>
      </x:c>
      <x:c r="I5" s="16" t="n">
        <x:f>C5*Options!$H$5+D5*Options!$H$6+E5*Options!$H$7+IF(C5&gt;0,Options!$I$5,0)+IF(D5&gt;0,Options!$I$6,0)+IF(E5&gt;0,Options!$I$7,0)</x:f>
        <x:v>64500000</x:v>
      </x:c>
      <x:c r="J5" s="16" t="n">
        <x:f>IF(F5=0,0,I5/F5)</x:f>
        <x:v>2804.3478260869565</x:v>
      </x:c>
      <x:c r="K5" s="18" t="n">
        <x:f>IF(F5=0,0,MAX(C5:E5)/F5)</x:f>
        <x:v>0.43478260869565216</x:v>
      </x:c>
      <x:c r="L5" s="11" t="str">
        <x:f>IF(G5&gt;=1,"COVERED","GAP")</x:f>
        <x:v>GAP</x:v>
      </x:c>
    </x:row>
    <x:row r="6" ht="15" hidden="0" customHeight="1">
      <x:c r="A6" s="12" t="n">
        <x:v>2028</x:v>
      </x:c>
      <x:c r="B6" s="14" t="n">
        <x:v>18000</x:v>
      </x:c>
      <x:c r="C6" s="14" t="n">
        <x:v>9000</x:v>
      </x:c>
      <x:c r="D6" s="14" t="n">
        <x:v>0</x:v>
      </x:c>
      <x:c r="E6" s="14" t="n">
        <x:v>7000</x:v>
      </x:c>
      <x:c r="F6" s="17" t="n">
        <x:f>SUM(C6:E6)</x:f>
        <x:v>16000</x:v>
      </x:c>
      <x:c r="G6" s="19" t="n">
        <x:f>IF(B6=0,0,F6/B6)</x:f>
        <x:v>0.8888888888888888</x:v>
      </x:c>
      <x:c r="H6" s="12" t="n">
        <x:f>MAX(0,B6-F6)</x:f>
        <x:v>2000</x:v>
      </x:c>
      <x:c r="I6" s="17" t="n">
        <x:f>C6*Options!$H$5+D6*Options!$H$6+E6*Options!$H$7+IF(C6&gt;0,Options!$I$5,0)+IF(D6&gt;0,Options!$I$6,0)+IF(E6&gt;0,Options!$I$7,0)</x:f>
        <x:v>55050000</x:v>
      </x:c>
      <x:c r="J6" s="17" t="n">
        <x:f>IF(F6=0,0,I6/F6)</x:f>
        <x:v>3440.625</x:v>
      </x:c>
      <x:c r="K6" s="19" t="n">
        <x:f>IF(F6=0,0,MAX(C6:E6)/F6)</x:f>
        <x:v>0.5625</x:v>
      </x:c>
      <x:c r="L6" s="12" t="str">
        <x:f>IF(G6&gt;=1,"COVERED","GAP")</x:f>
        <x:v>GAP</x:v>
      </x:c>
    </x:row>
    <x:row r="7" ht="15" hidden="0" customHeight="1">
      <x:c r="A7" s="11" t="n">
        <x:v>2029</x:v>
      </x:c>
      <x:c r="B7" s="14" t="n">
        <x:v>12000</x:v>
      </x:c>
      <x:c r="C7" s="14" t="n">
        <x:v>0</x:v>
      </x:c>
      <x:c r="D7" s="14" t="n">
        <x:v>0</x:v>
      </x:c>
      <x:c r="E7" s="14" t="n">
        <x:v>10000</x:v>
      </x:c>
      <x:c r="F7" s="16" t="n">
        <x:f>SUM(C7:E7)</x:f>
        <x:v>10000</x:v>
      </x:c>
      <x:c r="G7" s="18" t="n">
        <x:f>IF(B7=0,0,F7/B7)</x:f>
        <x:v>0.8333333333333334</x:v>
      </x:c>
      <x:c r="H7" s="11" t="n">
        <x:f>MAX(0,B7-F7)</x:f>
        <x:v>2000</x:v>
      </x:c>
      <x:c r="I7" s="16" t="n">
        <x:f>C7*Options!$H$5+D7*Options!$H$6+E7*Options!$H$7+IF(C7&gt;0,Options!$I$5,0)+IF(D7&gt;0,Options!$I$6,0)+IF(E7&gt;0,Options!$I$7,0)</x:f>
        <x:v>35800000</x:v>
      </x:c>
      <x:c r="J7" s="16" t="n">
        <x:f>IF(F7=0,0,I7/F7)</x:f>
        <x:v>3580</x:v>
      </x:c>
      <x:c r="K7" s="18" t="n">
        <x:f>IF(F7=0,0,MAX(C7:E7)/F7)</x:f>
        <x:v>1</x:v>
      </x:c>
      <x:c r="L7" s="11" t="str">
        <x:f>IF(G7&gt;=1,"COVERED","GAP")</x:f>
        <x:v>GAP</x:v>
      </x:c>
    </x:row>
  </x:sheetData>
  <x:pageMargins left="0.7" right="0.7" top="0.75" bottom="0.75" header="0.3" footer="0.3"/>
  <x:tableParts count="1">
    <x:tablePart xmlns:r="http://schemas.openxmlformats.org/officeDocument/2006/relationships" r:id="R543c3ba7d8f844f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14" hidden="0" customWidth="1"/>
    <x:col min="4" max="4" width="16" hidden="0" customWidth="1"/>
    <x:col min="5" max="5" width="18" hidden="0" customWidth="1"/>
    <x:col min="6" max="6" width="16" hidden="0" customWidth="1"/>
    <x:col min="7" max="7" width="16" hidden="0" customWidth="1"/>
    <x:col min="8" max="8" width="20" hidden="0" customWidth="1"/>
    <x:col min="9" max="9" width="18" hidden="0" customWidth="1"/>
    <x:col min="10" max="10" width="20" hidden="0" customWidth="1"/>
    <x:col min="11" max="11" width="24" hidden="0" customWidth="1"/>
  </x:cols>
  <x:sheetData>
    <x:row r="2" ht="15" hidden="0" customHeight="1">
      <x:c r="A2" s="26" t="str">
        <x:v>Short-term criteria — synthetic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</x:row>
    <x:row r="3" ht="15" hidden="0" customHeight="1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7"/>
    </x:row>
    <x:row r="4" ht="15" hidden="0" customHeight="1">
      <x:c r="A4" s="32" t="str">
        <x:v>Criterion</x:v>
      </x:c>
      <x:c r="B4" s="32" t="str">
        <x:v>Timing / volume</x:v>
      </x:c>
      <x:c r="C4" s="32" t="str">
        <x:v>Cost</x:v>
      </x:c>
      <x:c r="D4" s="32" t="str">
        <x:v>Flexibility</x:v>
      </x:c>
      <x:c r="E4" s="32" t="str">
        <x:v>Certificate</x:v>
      </x:c>
      <x:c r="F4" s="32" t="str">
        <x:v>Delivery</x:v>
      </x:c>
      <x:c r="G4" s="32" t="str">
        <x:v>Evidence</x:v>
      </x:c>
      <x:c r="H4" s="32" t="str">
        <x:v>Transition fit</x:v>
      </x:c>
      <x:c r="I4" s="27"/>
      <x:c r="J4" s="27"/>
      <x:c r="K4" s="27"/>
    </x:row>
    <x:row r="5" ht="15" hidden="0" customHeight="1">
      <x:c r="A5" s="33" t="str">
        <x:v>Weight</x:v>
      </x:c>
      <x:c r="B5" s="34" t="n">
        <x:v>0.2</x:v>
      </x:c>
      <x:c r="C5" s="34" t="n">
        <x:v>0.15</x:v>
      </x:c>
      <x:c r="D5" s="34" t="n">
        <x:v>0.15</x:v>
      </x:c>
      <x:c r="E5" s="34" t="n">
        <x:v>0.15</x:v>
      </x:c>
      <x:c r="F5" s="34" t="n">
        <x:v>0.15</x:v>
      </x:c>
      <x:c r="G5" s="34" t="n">
        <x:v>0.1</x:v>
      </x:c>
      <x:c r="H5" s="34" t="n">
        <x:v>0.1</x:v>
      </x:c>
      <x:c r="I5" s="27"/>
      <x:c r="J5" s="27"/>
      <x:c r="K5" s="27"/>
    </x:row>
    <x:row r="6" ht="15" hidden="0" customHeight="1">
      <x:c r="A6" s="27"/>
      <x:c r="B6" s="27"/>
      <x:c r="C6" s="27"/>
      <x:c r="D6" s="27"/>
      <x:c r="E6" s="27"/>
      <x:c r="F6" s="27"/>
      <x:c r="G6" s="27"/>
      <x:c r="H6" s="27"/>
      <x:c r="I6" s="27"/>
      <x:c r="J6" s="27"/>
      <x:c r="K6" s="27"/>
    </x:row>
    <x:row r="7" ht="15" hidden="0" customHeight="1">
      <x:c r="A7" s="27"/>
      <x:c r="B7" s="27"/>
      <x:c r="C7" s="27"/>
      <x:c r="D7" s="27"/>
      <x:c r="E7" s="27"/>
      <x:c r="F7" s="27"/>
      <x:c r="G7" s="27"/>
      <x:c r="H7" s="27"/>
      <x:c r="I7" s="27"/>
      <x:c r="J7" s="27"/>
      <x:c r="K7" s="27"/>
    </x:row>
    <x:row r="8" ht="15" hidden="0" customHeight="1">
      <x:c r="A8" s="29" t="str">
        <x:v>Option ID</x:v>
      </x:c>
      <x:c r="B8" s="29" t="str">
        <x:v>Timing / volume</x:v>
      </x:c>
      <x:c r="C8" s="29" t="str">
        <x:v>Cost</x:v>
      </x:c>
      <x:c r="D8" s="29" t="str">
        <x:v>Flexibility</x:v>
      </x:c>
      <x:c r="E8" s="29" t="str">
        <x:v>Certificate</x:v>
      </x:c>
      <x:c r="F8" s="29" t="str">
        <x:v>Delivery</x:v>
      </x:c>
      <x:c r="G8" s="29" t="str">
        <x:v>Evidence</x:v>
      </x:c>
      <x:c r="H8" s="29" t="str">
        <x:v>Transition fit</x:v>
      </x:c>
      <x:c r="I8" s="29" t="str">
        <x:v>Weighted score</x:v>
      </x:c>
      <x:c r="J8" s="29" t="str">
        <x:v>Hard-screen</x:v>
      </x:c>
      <x:c r="K8" s="29" t="str">
        <x:v>Recommendation</x:v>
      </x:c>
    </x:row>
    <x:row r="9" ht="15" hidden="0" customHeight="1">
      <x:c r="A9" s="11" t="str">
        <x:v>OPT-DEMO-A</x:v>
      </x:c>
      <x:c r="B9" s="13" t="n">
        <x:v>4</x:v>
      </x:c>
      <x:c r="C9" s="13" t="n">
        <x:v>3</x:v>
      </x:c>
      <x:c r="D9" s="13" t="n">
        <x:v>3</x:v>
      </x:c>
      <x:c r="E9" s="13" t="n">
        <x:v>3</x:v>
      </x:c>
      <x:c r="F9" s="13" t="n">
        <x:v>3</x:v>
      </x:c>
      <x:c r="G9" s="13" t="n">
        <x:v>2</x:v>
      </x:c>
      <x:c r="H9" s="13" t="n">
        <x:v>4</x:v>
      </x:c>
      <x:c r="I9" s="22" t="n">
        <x:f>SUMPRODUCT(B9:H9,$B$5:$H$5)</x:f>
        <x:v>3.1999999999999997</x:v>
      </x:c>
      <x:c r="J9" s="11" t="str">
        <x:v>CONDITIONAL</x:v>
      </x:c>
      <x:c r="K9" s="11" t="str">
        <x:f>IF(J9="FAIL","REJECT",IF(I9&gt;=3.5,"TEST / RESERVE","RESEARCH MORE"))</x:f>
        <x:v>RESEARCH MORE</x:v>
      </x:c>
    </x:row>
    <x:row r="10" ht="15" hidden="0" customHeight="1">
      <x:c r="A10" s="12" t="str">
        <x:v>OPT-DEMO-B</x:v>
      </x:c>
      <x:c r="B10" s="13" t="n">
        <x:v>3</x:v>
      </x:c>
      <x:c r="C10" s="13" t="n">
        <x:v>5</x:v>
      </x:c>
      <x:c r="D10" s="13" t="n">
        <x:v>5</x:v>
      </x:c>
      <x:c r="E10" s="13" t="n">
        <x:v>2</x:v>
      </x:c>
      <x:c r="F10" s="13" t="n">
        <x:v>3</x:v>
      </x:c>
      <x:c r="G10" s="13" t="n">
        <x:v>2</x:v>
      </x:c>
      <x:c r="H10" s="13" t="n">
        <x:v>3</x:v>
      </x:c>
      <x:c r="I10" s="23" t="n">
        <x:f>SUMPRODUCT(B10:H10,$B$5:$H$5)</x:f>
        <x:v>3.3499999999999996</x:v>
      </x:c>
      <x:c r="J10" s="12" t="str">
        <x:v>CONDITIONAL</x:v>
      </x:c>
      <x:c r="K10" s="12" t="str">
        <x:f>IF(J10="FAIL","REJECT",IF(I10&gt;=3.5,"TEST / RESERVE","RESEARCH MORE"))</x:f>
        <x:v>RESEARCH MORE</x:v>
      </x:c>
    </x:row>
    <x:row r="11" ht="15" hidden="0" customHeight="1">
      <x:c r="A11" s="11" t="str">
        <x:v>OPT-DEMO-C</x:v>
      </x:c>
      <x:c r="B11" s="13" t="n">
        <x:v>4</x:v>
      </x:c>
      <x:c r="C11" s="13" t="n">
        <x:v>2</x:v>
      </x:c>
      <x:c r="D11" s="13" t="n">
        <x:v>4</x:v>
      </x:c>
      <x:c r="E11" s="13" t="n">
        <x:v>3</x:v>
      </x:c>
      <x:c r="F11" s="13" t="n">
        <x:v>2</x:v>
      </x:c>
      <x:c r="G11" s="13" t="n">
        <x:v>1</x:v>
      </x:c>
      <x:c r="H11" s="13" t="n">
        <x:v>4</x:v>
      </x:c>
      <x:c r="I11" s="22" t="n">
        <x:f>SUMPRODUCT(B11:H11,$B$5:$H$5)</x:f>
        <x:v>2.95</x:v>
      </x:c>
      <x:c r="J11" s="11" t="str">
        <x:v>CONDITIONAL</x:v>
      </x:c>
      <x:c r="K11" s="11" t="str">
        <x:f>IF(J11="FAIL","REJECT",IF(I11&gt;=3.5,"TEST / RESERVE","RESEARCH MORE"))</x:f>
        <x:v>RESEARCH MORE</x:v>
      </x:c>
    </x:row>
  </x:sheetData>
  <x:pageMargins left="0.7" right="0.7" top="0.75" bottom="0.75" header="0.3" footer="0.3"/>
  <x:tableParts count="1">
    <x:tablePart xmlns:r="http://schemas.openxmlformats.org/officeDocument/2006/relationships" r:id="Re886ba697a70454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48" hidden="0" customWidth="1"/>
    <x:col min="3" max="3" width="44" hidden="0" customWidth="1"/>
    <x:col min="4" max="4" width="36" hidden="0" customWidth="1"/>
    <x:col min="5" max="5" width="34" hidden="0" customWidth="1"/>
    <x:col min="6" max="6" width="16" hidden="0" customWidth="1"/>
    <x:col min="7" max="7" width="24" hidden="0" customWidth="1"/>
  </x:cols>
  <x:sheetData>
    <x:row r="2" ht="15" hidden="0" customHeight="1">
      <x:c r="A2" s="26" t="str">
        <x:v>Short-term decision brief — demo</x:v>
      </x:c>
      <x:c r="B2" s="27"/>
      <x:c r="C2" s="27"/>
      <x:c r="D2" s="27"/>
      <x:c r="E2" s="27"/>
      <x:c r="F2" s="27"/>
      <x:c r="G2" s="27"/>
    </x:row>
    <x:row r="3" ht="15" hidden="0" customHeight="1">
      <x:c r="A3" s="28"/>
      <x:c r="B3" s="28"/>
      <x:c r="C3" s="28"/>
      <x:c r="D3" s="28"/>
      <x:c r="E3" s="28"/>
      <x:c r="F3" s="28"/>
      <x:c r="G3" s="28"/>
    </x:row>
    <x:row r="4" ht="15" hidden="0" customHeight="1">
      <x:c r="A4" s="29" t="str">
        <x:v>Question</x:v>
      </x:c>
      <x:c r="B4" s="29" t="str">
        <x:v>Demo output</x:v>
      </x:c>
      <x:c r="C4" s="29" t="str">
        <x:v>Evidence boundary</x:v>
      </x:c>
      <x:c r="D4" s="29" t="str">
        <x:v>Decision required</x:v>
      </x:c>
      <x:c r="E4" s="29" t="str">
        <x:v>Owner</x:v>
      </x:c>
      <x:c r="F4" s="29" t="str">
        <x:v>Due</x:v>
      </x:c>
      <x:c r="G4" s="29" t="str">
        <x:v>Downstream</x:v>
      </x:c>
    </x:row>
    <x:row r="5" ht="15" hidden="0" customHeight="1">
      <x:c r="A5" s="11" t="str">
        <x:v>2027 bridge need</x:v>
      </x:c>
      <x:c r="B5" s="11" t="str">
        <x:v>23,000 demo MWh selected vs 25,000 gap</x:v>
      </x:c>
      <x:c r="C5" s="11" t="str">
        <x:v>Synthetic only</x:v>
      </x:c>
      <x:c r="D5" s="11" t="str">
        <x:v>Approve need / range</x:v>
      </x:c>
      <x:c r="E5" s="11" t="str">
        <x:v>Decision body — TBD</x:v>
      </x:c>
      <x:c r="F5" s="11" t="str">
        <x:v>TBD</x:v>
      </x:c>
      <x:c r="G5" s="11" t="str">
        <x:v>2.5 / 3.1</x:v>
      </x:c>
    </x:row>
    <x:row r="6" ht="15" hidden="0" customHeight="1">
      <x:c r="A6" s="12" t="str">
        <x:v>Eligibility</x:v>
      </x:c>
      <x:c r="B6" s="12" t="str">
        <x:v>All archetypes still TBD</x:v>
      </x:c>
      <x:c r="C6" s="12" t="str">
        <x:v>Client policy not provided</x:v>
      </x:c>
      <x:c r="D6" s="12" t="str">
        <x:v>Approve / exclude instruments</x:v>
      </x:c>
      <x:c r="E6" s="12" t="str">
        <x:v>Sustainability / Legal — TBD</x:v>
      </x:c>
      <x:c r="F6" s="12" t="str">
        <x:v>TBD</x:v>
      </x:c>
      <x:c r="G6" s="12" t="str">
        <x:v>Hard screen</x:v>
      </x:c>
    </x:row>
    <x:row r="7" ht="15" hidden="0" customHeight="1">
      <x:c r="A7" s="11" t="str">
        <x:v>Preliminary judgement</x:v>
      </x:c>
      <x:c r="B7" s="11" t="str">
        <x:v>Keep a flexible bridge option in reserve</x:v>
      </x:c>
      <x:c r="C7" s="11" t="str">
        <x:v>No market quote / availability</x:v>
      </x:c>
      <x:c r="D7" s="11" t="str">
        <x:v>Pilot / reserve / reject</x:v>
      </x:c>
      <x:c r="E7" s="11" t="str">
        <x:v>Project Lead + client</x:v>
      </x:c>
      <x:c r="F7" s="11" t="str">
        <x:v>TBD</x:v>
      </x:c>
      <x:c r="G7" s="11" t="str">
        <x:v>Portfolio transition</x:v>
      </x:c>
    </x:row>
  </x:sheetData>
  <x:pageMargins left="0.7" right="0.7" top="0.75" bottom="0.75" header="0.3" footer="0.3"/>
  <x:tableParts count="1">
    <x:tablePart xmlns:r="http://schemas.openxmlformats.org/officeDocument/2006/relationships" r:id="R1b9a4baeeeb04bc6"/>
  </x:tableParts>
</x:worksheet>
</file>