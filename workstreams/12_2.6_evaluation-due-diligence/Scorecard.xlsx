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7ec40ff0024f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9884c230649842e7"/>
    <x:sheet xmlns:r="http://schemas.openxmlformats.org/officeDocument/2006/relationships" name="Offer Intake" sheetId="2" r:id="R692f221093ee47ed"/>
    <x:sheet xmlns:r="http://schemas.openxmlformats.org/officeDocument/2006/relationships" name="Criteria" sheetId="3" r:id="Rc4e034ff1acb419d"/>
    <x:sheet xmlns:r="http://schemas.openxmlformats.org/officeDocument/2006/relationships" name="Evaluator Scores" sheetId="4" r:id="Re07e90183d354c27"/>
    <x:sheet xmlns:r="http://schemas.openxmlformats.org/officeDocument/2006/relationships" name="DD Checklist" sheetId="5" r:id="Rbfb5fa099e4e46ee"/>
    <x:sheet xmlns:r="http://schemas.openxmlformats.org/officeDocument/2006/relationships" name="Risk Assessment" sheetId="6" r:id="R70b3115c7a2b4930"/>
    <x:sheet xmlns:r="http://schemas.openxmlformats.org/officeDocument/2006/relationships" name="Shortlist Summary" sheetId="7" r:id="Rceb6ff728d0945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0.00"/>
  </x:numFmts>
  <x:fonts count="5">
    <x:font>
      <x:sz val="11"/>
      <x:name val="Carlito"/>
    </x:font>
    <x:font>
      <x:b/>
      <x:sz val="14"/>
      <x:name val="Arial"/>
    </x:font>
    <x:font>
      <x:b/>
      <x:sz val="10"/>
      <x:color rgb="FFFFFFFF"/>
      <x:name val="Arial"/>
    </x:font>
    <x:font>
      <x:sz val="10"/>
      <x:name val="Arial"/>
    </x:font>
    <x:font>
      <x:b/>
      <x:sz val="1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DEBF7"/>
      </x:patternFill>
    </x:fill>
    <x:fill>
      <x:patternFill patternType="solid">
        <x:fgColor rgb="FFFFF2CC"/>
      </x:patternFill>
    </x:fill>
  </x:fills>
  <x:borders count="4">
    <x:border/>
    <x:border>
      <x:bottom style="thin">
        <x:color rgb="FF17365D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2" xfId="0" applyNumberFormat="1" applyFont="1" applyFill="1" applyBorder="1"/>
    <x:xf numFmtId="0" fontId="2" fillId="2" borderId="2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horizontal="center" wrapText="1"/>
    </x:xf>
    <x:xf numFmtId="0" fontId="3" fillId="0" borderId="0" xfId="0" applyNumberFormat="1" applyFont="1" applyFill="1" applyBorder="1"/>
    <x:xf numFmtId="0" fontId="3" fillId="0" borderId="3" xfId="0" applyNumberFormat="1" applyFont="1" applyFill="1" applyBorder="1"/>
    <x:xf numFmtId="0" fontId="3" fillId="0" borderId="3" xfId="0" applyNumberFormat="1" applyFont="1" applyFill="1" applyBorder="1" applyAlignment="1">
      <x:alignment wrapText="1"/>
    </x:xf>
    <x:xf numFmtId="0" fontId="3" fillId="0" borderId="3" xfId="0" applyNumberFormat="1" applyFont="1" applyFill="1" applyBorder="1" applyAlignment="1">
      <x:alignment vertical="center" wrapText="1"/>
    </x:xf>
    <x:xf numFmtId="0" fontId="3" fillId="3" borderId="3" xfId="0" applyNumberFormat="1" applyFont="1" applyFill="1" applyBorder="1" applyAlignment="1">
      <x:alignment vertical="center" wrapText="1"/>
    </x:xf>
    <x:xf numFmtId="200" fontId="3" fillId="0" borderId="3" xfId="0" applyNumberFormat="1" applyFont="1" applyFill="1" applyBorder="1" applyAlignment="1">
      <x:alignment vertical="center" wrapText="1"/>
    </x:xf>
    <x:xf numFmtId="200" fontId="3" fillId="3" borderId="3" xfId="0" applyNumberFormat="1" applyFont="1" applyFill="1" applyBorder="1" applyAlignment="1">
      <x:alignment vertical="center" wrapText="1"/>
    </x:xf>
    <x:xf numFmtId="200" fontId="3" fillId="4" borderId="3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201" fontId="3" fillId="0" borderId="3" xfId="0" applyNumberFormat="1" applyFont="1" applyFill="1" applyBorder="1" applyAlignment="1">
      <x:alignment vertical="center" wrapText="1"/>
    </x:xf>
    <x:xf numFmtId="201" fontId="3" fillId="3" borderId="3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3" fillId="0" borderId="1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1688094c7d40e4" /><Relationship Type="http://schemas.openxmlformats.org/officeDocument/2006/relationships/theme" Target="/xl/theme/theme1.xml" Id="R95445a977dcb40f3" /><Relationship Type="http://schemas.openxmlformats.org/officeDocument/2006/relationships/sharedStrings" Target="/xl/sharedStrings.xml" Id="Rf187f6eab6634083" /><Relationship Type="http://schemas.openxmlformats.org/officeDocument/2006/relationships/worksheet" Target="/xl/worksheets/sheet1.xml" Id="R9884c230649842e7" /><Relationship Type="http://schemas.openxmlformats.org/officeDocument/2006/relationships/worksheet" Target="/xl/worksheets/sheet2.xml" Id="R692f221093ee47ed" /><Relationship Type="http://schemas.openxmlformats.org/officeDocument/2006/relationships/worksheet" Target="/xl/worksheets/sheet3.xml" Id="Rc4e034ff1acb419d" /><Relationship Type="http://schemas.openxmlformats.org/officeDocument/2006/relationships/worksheet" Target="/xl/worksheets/sheet4.xml" Id="Re07e90183d354c27" /><Relationship Type="http://schemas.openxmlformats.org/officeDocument/2006/relationships/worksheet" Target="/xl/worksheets/sheet5.xml" Id="Rbfb5fa099e4e46ee" /><Relationship Type="http://schemas.openxmlformats.org/officeDocument/2006/relationships/worksheet" Target="/xl/worksheets/sheet6.xml" Id="R70b3115c7a2b4930" /><Relationship Type="http://schemas.openxmlformats.org/officeDocument/2006/relationships/worksheet" Target="/xl/worksheets/sheet7.xml" Id="Rceb6ff728d0945ba" /></Relationships>
</file>

<file path=xl/tables/table1.xml><?xml version="1.0" encoding="utf-8"?>
<x:table xmlns:x="http://schemas.openxmlformats.org/spreadsheetml/2006/main" id="1" name="EvalInstructionTable" displayName="EvalInstructionTable" ref="A4:G7" headerRowCount="1" totalsRowCount="0" totalsRowShown="0">
  <x:tableColumns count="7">
    <x:tableColumn id="1" name="Control"/>
    <x:tableColumn id="2" name="Rule"/>
    <x:tableColumn id="3" name="Evidence"/>
    <x:tableColumn id="4" name="Owner"/>
    <x:tableColumn id="5" name="Conflict / dissent"/>
    <x:tableColumn id="6" name="Status"/>
    <x:tableColumn id="7" name="Decision effec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OfferIntakeTable" displayName="OfferIntakeTable" ref="A4:L7" headerRowCount="1" totalsRowCount="0" totalsRowShown="0">
  <x:tableColumns count="12">
    <x:tableColumn id="1" name="Offer ID"/>
    <x:tableColumn id="2" name="Bidder"/>
    <x:tableColumn id="3" name="Structure"/>
    <x:tableColumn id="4" name="Hard screen"/>
    <x:tableColumn id="5" name="Completeness"/>
    <x:tableColumn id="6" name="Annual MWh"/>
    <x:tableColumn id="7" name="Start"/>
    <x:tableColumn id="8" name="Tenor"/>
    <x:tableColumn id="9" name="Normalized NTD/MWh"/>
    <x:tableColumn id="10" name="Validity"/>
    <x:tableColumn id="11" name="Key exception"/>
    <x:tableColumn id="12" name="Truth 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riteriaTable" displayName="CriteriaTable" ref="A4:H13" headerRowCount="1" totalsRowCount="0" totalsRowShown="0">
  <x:tableColumns count="8">
    <x:tableColumn id="1" name="Criterion"/>
    <x:tableColumn id="2" name="Weight"/>
    <x:tableColumn id="3" name="1 anchor"/>
    <x:tableColumn id="4" name="3 anchor"/>
    <x:tableColumn id="5" name="5 anchor"/>
    <x:tableColumn id="6" name="Evidence required"/>
    <x:tableColumn id="7" name="Hard constraint?"/>
    <x:tableColumn id="8" name="Approval statu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valuatorScoreTable" displayName="EvaluatorScoreTable" ref="A4:N7" headerRowCount="1" totalsRowCount="0" totalsRowShown="0">
  <x:tableColumns count="14">
    <x:tableColumn id="1" name="Evaluator"/>
    <x:tableColumn id="2" name="Offer ID"/>
    <x:tableColumn id="3" name="Volume / timing"/>
    <x:tableColumn id="4" name="Commercial value"/>
    <x:tableColumn id="5" name="Flexibility"/>
    <x:tableColumn id="6" name="Project maturity"/>
    <x:tableColumn id="7" name="Execution"/>
    <x:tableColumn id="8" name="Certificate"/>
    <x:tableColumn id="9" name="Credit"/>
    <x:tableColumn id="10" name="Risk allocation"/>
    <x:tableColumn id="11" name="Evidence confidence"/>
    <x:tableColumn id="12" name="Weighted score"/>
    <x:tableColumn id="13" name="Evidence comment"/>
    <x:tableColumn id="14" name="Conflict / dissent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DDChecklistTable" displayName="DDChecklistTable" ref="A4:J8" headerRowCount="1" totalsRowCount="0" totalsRowShown="0">
  <x:tableColumns count="10">
    <x:tableColumn id="1" name="DD ID"/>
    <x:tableColumn id="2" name="Offer ID"/>
    <x:tableColumn id="3" name="Area"/>
    <x:tableColumn id="4" name="Question / evidence"/>
    <x:tableColumn id="5" name="Materiality"/>
    <x:tableColumn id="6" name="Source / evidence ID"/>
    <x:tableColumn id="7" name="Owner"/>
    <x:tableColumn id="8" name="Status"/>
    <x:tableColumn id="9" name="Condition / impact"/>
    <x:tableColumn id="10" name="Specialist boundary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RiskAssessmentTable" displayName="RiskAssessmentTable" ref="A4:J7" headerRowCount="1" totalsRowCount="0" totalsRowShown="0">
  <x:tableColumns count="10">
    <x:tableColumn id="1" name="Risk ID"/>
    <x:tableColumn id="2" name="Offer ID"/>
    <x:tableColumn id="3" name="Event"/>
    <x:tableColumn id="4" name="Likelihood 1–5"/>
    <x:tableColumn id="5" name="Impact 1–5"/>
    <x:tableColumn id="6" name="Risk score"/>
    <x:tableColumn id="7" name="Evidence"/>
    <x:tableColumn id="8" name="Mitigation / condition"/>
    <x:tableColumn id="9" name="Risk acceptor"/>
    <x:tableColumn id="10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ShortlistSummaryTable" displayName="ShortlistSummaryTable" ref="A4:L7" headerRowCount="1" totalsRowCount="0" totalsRowShown="0">
  <x:tableColumns count="12">
    <x:tableColumn id="1" name="Offer ID"/>
    <x:tableColumn id="2" name="Hard screen"/>
    <x:tableColumn id="3" name="Weighted score"/>
    <x:tableColumn id="4" name="Open DD"/>
    <x:tableColumn id="5" name="High risk count"/>
    <x:tableColumn id="6" name="Top strength"/>
    <x:tableColumn id="7" name="Top risk"/>
    <x:tableColumn id="8" name="Condition"/>
    <x:tableColumn id="9" name="Model signal"/>
    <x:tableColumn id="10" name="Authorized decision"/>
    <x:tableColumn id="11" name="Decision owner"/>
    <x:tableColumn id="12" name="Truth 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ddaa6526bd6413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b59e48946774ad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2689c0b67a9498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78378c8396c44fb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604472c6e986493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11427f7791c5479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ee865cfb30c04261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54" hidden="0" customWidth="1"/>
    <x:col min="3" max="3" width="42" hidden="0" customWidth="1"/>
    <x:col min="4" max="4" width="28" hidden="0" customWidth="1"/>
    <x:col min="5" max="5" width="48" hidden="0" customWidth="1"/>
    <x:col min="6" max="6" width="22" hidden="0" customWidth="1"/>
    <x:col min="7" max="7" width="30" hidden="0" customWidth="1"/>
  </x:cols>
  <x:sheetData>
    <x:row r="2" ht="15" hidden="0" customHeight="1">
      <x:c r="A2" s="21" t="str">
        <x:v>Evaluation scorecard — governance</x:v>
      </x:c>
      <x:c r="B2" s="22"/>
      <x:c r="C2" s="22"/>
      <x:c r="D2" s="22"/>
      <x:c r="E2" s="22"/>
      <x:c r="F2" s="22"/>
      <x:c r="G2" s="22"/>
    </x:row>
    <x:row r="3" ht="15" hidden="0" customHeight="1">
      <x:c r="A3" s="23"/>
      <x:c r="B3" s="23"/>
      <x:c r="C3" s="23"/>
      <x:c r="D3" s="23"/>
      <x:c r="E3" s="23"/>
      <x:c r="F3" s="23"/>
      <x:c r="G3" s="23"/>
    </x:row>
    <x:row r="4" ht="15" hidden="0" customHeight="1">
      <x:c r="A4" s="24" t="str">
        <x:v>Control</x:v>
      </x:c>
      <x:c r="B4" s="24" t="str">
        <x:v>Rule</x:v>
      </x:c>
      <x:c r="C4" s="24" t="str">
        <x:v>Evidence</x:v>
      </x:c>
      <x:c r="D4" s="24" t="str">
        <x:v>Owner</x:v>
      </x:c>
      <x:c r="E4" s="24" t="str">
        <x:v>Conflict / dissent</x:v>
      </x:c>
      <x:c r="F4" s="24" t="str">
        <x:v>Status</x:v>
      </x:c>
      <x:c r="G4" s="24" t="str">
        <x:v>Decision effect</x:v>
      </x:c>
    </x:row>
    <x:row r="5" ht="15" hidden="0" customHeight="1">
      <x:c r="A5" s="11" t="str">
        <x:v>Hard screen</x:v>
      </x:c>
      <x:c r="B5" s="11" t="str">
        <x:v>Fail cannot be offset by score</x:v>
      </x:c>
      <x:c r="C5" s="11" t="str">
        <x:v>Response + approved requirement</x:v>
      </x:c>
      <x:c r="D5" s="11" t="str">
        <x:v>Evaluation Lead</x:v>
      </x:c>
      <x:c r="E5" s="11" t="str">
        <x:v>Record exception only if authority permits</x:v>
      </x:c>
      <x:c r="F5" s="11" t="str">
        <x:v>DRAFT</x:v>
      </x:c>
      <x:c r="G5" s="11" t="str">
        <x:v>Exclude / condition</x:v>
      </x:c>
    </x:row>
    <x:row r="6" ht="15" hidden="0" customHeight="1">
      <x:c r="A6" s="12" t="str">
        <x:v>Independent score</x:v>
      </x:c>
      <x:c r="B6" s="12" t="str">
        <x:v>Score before calibration and cite evidence</x:v>
      </x:c>
      <x:c r="C6" s="12" t="str">
        <x:v>Offer / DD evidence ID</x:v>
      </x:c>
      <x:c r="D6" s="12" t="str">
        <x:v>Evaluator</x:v>
      </x:c>
      <x:c r="E6" s="12" t="str">
        <x:v>Record dissent; do not erase</x:v>
      </x:c>
      <x:c r="F6" s="12" t="str">
        <x:v>DRAFT</x:v>
      </x:c>
      <x:c r="G6" s="12" t="str">
        <x:v>Comparable judgement</x:v>
      </x:c>
    </x:row>
    <x:row r="7" ht="15" hidden="0" customHeight="1">
      <x:c r="A7" s="11" t="str">
        <x:v>Decision authority</x:v>
      </x:c>
      <x:c r="B7" s="11" t="str">
        <x:v>Model recommends; authorized body decides</x:v>
      </x:c>
      <x:c r="C7" s="11" t="str">
        <x:v>Decision record</x:v>
      </x:c>
      <x:c r="D7" s="11" t="str">
        <x:v>Client decision body</x:v>
      </x:c>
      <x:c r="E7" s="11" t="str">
        <x:v>Conflicts disclosed</x:v>
      </x:c>
      <x:c r="F7" s="11" t="str">
        <x:v>TBD WITH CLIENT</x:v>
      </x:c>
      <x:c r="G7" s="11" t="str">
        <x:v>Shortlist</x:v>
      </x:c>
    </x:row>
  </x:sheetData>
  <x:pageMargins left="0.7" right="0.7" top="0.75" bottom="0.75" header="0.3" footer="0.3"/>
  <x:tableParts count="1">
    <x:tablePart xmlns:r="http://schemas.openxmlformats.org/officeDocument/2006/relationships" r:id="Rfddaa6526bd64138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24" hidden="0" customWidth="1"/>
    <x:col min="3" max="3" width="24" hidden="0" customWidth="1"/>
    <x:col min="4" max="4" width="18" hidden="0" customWidth="1"/>
    <x:col min="5" max="5" width="20" hidden="0" customWidth="1"/>
    <x:col min="6" max="6" width="18" hidden="0" customWidth="1"/>
    <x:col min="7" max="7" width="18" hidden="0" customWidth="1"/>
    <x:col min="8" max="8" width="14" hidden="0" customWidth="1"/>
    <x:col min="9" max="9" width="24" hidden="0" customWidth="1"/>
    <x:col min="10" max="10" width="20" hidden="0" customWidth="1"/>
    <x:col min="11" max="11" width="42" hidden="0" customWidth="1"/>
    <x:col min="12" max="12" width="26" hidden="0" customWidth="1"/>
  </x:cols>
  <x:sheetData>
    <x:row r="2" ht="15" hidden="0" customHeight="1">
      <x:c r="A2" s="21" t="str">
        <x:v>Offer intake and normalization — synthetic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</x:row>
    <x:row r="3" ht="15" hidden="0" customHeight="1">
      <x:c r="A3" s="23"/>
      <x:c r="B3" s="23"/>
      <x:c r="C3" s="23"/>
      <x:c r="D3" s="23"/>
      <x:c r="E3" s="23"/>
      <x:c r="F3" s="23"/>
      <x:c r="G3" s="23"/>
      <x:c r="H3" s="23"/>
      <x:c r="I3" s="23"/>
      <x:c r="J3" s="23"/>
      <x:c r="K3" s="23"/>
      <x:c r="L3" s="23"/>
    </x:row>
    <x:row r="4" ht="15" hidden="0" customHeight="1">
      <x:c r="A4" s="24" t="str">
        <x:v>Offer ID</x:v>
      </x:c>
      <x:c r="B4" s="24" t="str">
        <x:v>Bidder</x:v>
      </x:c>
      <x:c r="C4" s="24" t="str">
        <x:v>Structure</x:v>
      </x:c>
      <x:c r="D4" s="24" t="str">
        <x:v>Hard screen</x:v>
      </x:c>
      <x:c r="E4" s="24" t="str">
        <x:v>Completeness</x:v>
      </x:c>
      <x:c r="F4" s="24" t="str">
        <x:v>Annual MWh</x:v>
      </x:c>
      <x:c r="G4" s="24" t="str">
        <x:v>Start</x:v>
      </x:c>
      <x:c r="H4" s="24" t="str">
        <x:v>Tenor</x:v>
      </x:c>
      <x:c r="I4" s="24" t="str">
        <x:v>Normalized NTD/MWh</x:v>
      </x:c>
      <x:c r="J4" s="24" t="str">
        <x:v>Validity</x:v>
      </x:c>
      <x:c r="K4" s="24" t="str">
        <x:v>Key exception</x:v>
      </x:c>
      <x:c r="L4" s="24" t="str">
        <x:v>Truth status</x:v>
      </x:c>
    </x:row>
    <x:row r="5" ht="15" hidden="0" customHeight="1">
      <x:c r="A5" s="11" t="str">
        <x:v>OFF-DEMO-A</x:v>
      </x:c>
      <x:c r="B5" s="11" t="str">
        <x:v>Bidder A demo</x:v>
      </x:c>
      <x:c r="C5" s="11" t="str">
        <x:v>Bundled</x:v>
      </x:c>
      <x:c r="D5" s="11" t="str">
        <x:v>PASS</x:v>
      </x:c>
      <x:c r="E5" s="11" t="str">
        <x:v>Conditional</x:v>
      </x:c>
      <x:c r="F5" s="11" t="n">
        <x:v>30000</x:v>
      </x:c>
      <x:c r="G5" s="11" t="str">
        <x:v>2028 range</x:v>
      </x:c>
      <x:c r="H5" s="11" t="n">
        <x:v>10</x:v>
      </x:c>
      <x:c r="I5" s="11" t="n">
        <x:v>3450</x:v>
      </x:c>
      <x:c r="J5" s="11" t="str">
        <x:v>30 days demo</x:v>
      </x:c>
      <x:c r="K5" s="11" t="str">
        <x:v>COD evidence open</x:v>
      </x:c>
      <x:c r="L5" s="11" t="str">
        <x:v>SYNTHETIC / DEMO DATA</x:v>
      </x:c>
    </x:row>
    <x:row r="6" ht="15" hidden="0" customHeight="1">
      <x:c r="A6" s="12" t="str">
        <x:v>OFF-DEMO-B</x:v>
      </x:c>
      <x:c r="B6" s="12" t="str">
        <x:v>Bidder B demo</x:v>
      </x:c>
      <x:c r="C6" s="12" t="str">
        <x:v>Project-linked</x:v>
      </x:c>
      <x:c r="D6" s="12" t="str">
        <x:v>CONDITIONAL</x:v>
      </x:c>
      <x:c r="E6" s="12" t="str">
        <x:v>Conditional</x:v>
      </x:c>
      <x:c r="F6" s="12" t="n">
        <x:v>42000</x:v>
      </x:c>
      <x:c r="G6" s="12" t="str">
        <x:v>2029 range</x:v>
      </x:c>
      <x:c r="H6" s="12" t="n">
        <x:v>15</x:v>
      </x:c>
      <x:c r="I6" s="12" t="n">
        <x:v>3200</x:v>
      </x:c>
      <x:c r="J6" s="12" t="str">
        <x:v>45 days demo</x:v>
      </x:c>
      <x:c r="K6" s="12" t="str">
        <x:v>Credit / guarantee open</x:v>
      </x:c>
      <x:c r="L6" s="12" t="str">
        <x:v>SYNTHETIC / DEMO DATA</x:v>
      </x:c>
    </x:row>
    <x:row r="7" ht="15" hidden="0" customHeight="1">
      <x:c r="A7" s="11" t="str">
        <x:v>OFF-DEMO-C</x:v>
      </x:c>
      <x:c r="B7" s="11" t="str">
        <x:v>Bidder C demo</x:v>
      </x:c>
      <x:c r="C7" s="11" t="str">
        <x:v>Portfolio</x:v>
      </x:c>
      <x:c r="D7" s="11" t="str">
        <x:v>PASS</x:v>
      </x:c>
      <x:c r="E7" s="11" t="str">
        <x:v>Conditional</x:v>
      </x:c>
      <x:c r="F7" s="11" t="n">
        <x:v>35000</x:v>
      </x:c>
      <x:c r="G7" s="11" t="str">
        <x:v>2028 range</x:v>
      </x:c>
      <x:c r="H7" s="11" t="n">
        <x:v>12</x:v>
      </x:c>
      <x:c r="I7" s="11" t="n">
        <x:v>3600</x:v>
      </x:c>
      <x:c r="J7" s="11" t="str">
        <x:v>30 days demo</x:v>
      </x:c>
      <x:c r="K7" s="11" t="str">
        <x:v>Asset allocation open</x:v>
      </x:c>
      <x:c r="L7" s="11" t="str">
        <x:v>SYNTHETIC / DEMO DATA</x:v>
      </x:c>
    </x:row>
  </x:sheetData>
  <x:pageMargins left="0.7" right="0.7" top="0.75" bottom="0.75" header="0.3" footer="0.3"/>
  <x:tableParts count="1">
    <x:tablePart xmlns:r="http://schemas.openxmlformats.org/officeDocument/2006/relationships" r:id="Rbb59e48946774ad6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14" hidden="0" customWidth="1"/>
    <x:col min="3" max="3" width="34" hidden="0" customWidth="1"/>
    <x:col min="4" max="4" width="38" hidden="0" customWidth="1"/>
    <x:col min="5" max="5" width="34" hidden="0" customWidth="1"/>
    <x:col min="6" max="6" width="38" hidden="0" customWidth="1"/>
    <x:col min="7" max="7" width="20" hidden="0" customWidth="1"/>
    <x:col min="8" max="8" width="24" hidden="0" customWidth="1"/>
  </x:cols>
  <x:sheetData>
    <x:row r="2" ht="15" hidden="0" customHeight="1">
      <x:c r="A2" s="21" t="str">
        <x:v>Approved criteria / rubric — draft demo</x:v>
      </x:c>
      <x:c r="B2" s="22"/>
      <x:c r="C2" s="22"/>
      <x:c r="D2" s="22"/>
      <x:c r="E2" s="22"/>
      <x:c r="F2" s="22"/>
      <x:c r="G2" s="22"/>
      <x:c r="H2" s="22"/>
    </x:row>
    <x:row r="3" ht="15" hidden="0" customHeight="1">
      <x:c r="A3" s="23"/>
      <x:c r="B3" s="23"/>
      <x:c r="C3" s="23"/>
      <x:c r="D3" s="23"/>
      <x:c r="E3" s="23"/>
      <x:c r="F3" s="23"/>
      <x:c r="G3" s="23"/>
      <x:c r="H3" s="23"/>
    </x:row>
    <x:row r="4" ht="15" hidden="0" customHeight="1">
      <x:c r="A4" s="24" t="str">
        <x:v>Criterion</x:v>
      </x:c>
      <x:c r="B4" s="24" t="str">
        <x:v>Weight</x:v>
      </x:c>
      <x:c r="C4" s="24" t="str">
        <x:v>1 anchor</x:v>
      </x:c>
      <x:c r="D4" s="24" t="str">
        <x:v>3 anchor</x:v>
      </x:c>
      <x:c r="E4" s="24" t="str">
        <x:v>5 anchor</x:v>
      </x:c>
      <x:c r="F4" s="24" t="str">
        <x:v>Evidence required</x:v>
      </x:c>
      <x:c r="G4" s="24" t="str">
        <x:v>Hard constraint?</x:v>
      </x:c>
      <x:c r="H4" s="24" t="str">
        <x:v>Approval status</x:v>
      </x:c>
    </x:row>
    <x:row r="5" ht="15" hidden="0" customHeight="1">
      <x:c r="A5" s="11" t="str">
        <x:v>Volume / timing</x:v>
      </x:c>
      <x:c r="B5" s="15" t="n">
        <x:v>0.15</x:v>
      </x:c>
      <x:c r="C5" s="11" t="str">
        <x:v>Material miss</x:v>
      </x:c>
      <x:c r="D5" s="11" t="str">
        <x:v>Feasible with condition</x:v>
      </x:c>
      <x:c r="E5" s="11" t="str">
        <x:v>Strong fit</x:v>
      </x:c>
      <x:c r="F5" s="11" t="str">
        <x:v>Offer + profile / COD evidence</x:v>
      </x:c>
      <x:c r="G5" s="11" t="str">
        <x:v>Yes</x:v>
      </x:c>
      <x:c r="H5" s="11" t="str">
        <x:v>TBD WITH CLIENT</x:v>
      </x:c>
    </x:row>
    <x:row r="6" ht="15" hidden="0" customHeight="1">
      <x:c r="A6" s="12" t="str">
        <x:v>Commercial value</x:v>
      </x:c>
      <x:c r="B6" s="15" t="n">
        <x:v>0.15</x:v>
      </x:c>
      <x:c r="C6" s="12" t="str">
        <x:v>High / opaque</x:v>
      </x:c>
      <x:c r="D6" s="12" t="str">
        <x:v>Comparable / conditional</x:v>
      </x:c>
      <x:c r="E6" s="12" t="str">
        <x:v>Strong risk-adjusted value</x:v>
      </x:c>
      <x:c r="F6" s="12" t="str">
        <x:v>Pricing normalization</x:v>
      </x:c>
      <x:c r="G6" s="12" t="str">
        <x:v>No</x:v>
      </x:c>
      <x:c r="H6" s="12" t="str">
        <x:v>TBD WITH CLIENT</x:v>
      </x:c>
    </x:row>
    <x:row r="7" ht="15" hidden="0" customHeight="1">
      <x:c r="A7" s="11" t="str">
        <x:v>Flexibility</x:v>
      </x:c>
      <x:c r="B7" s="15" t="n">
        <x:v>0.1</x:v>
      </x:c>
      <x:c r="C7" s="11" t="str">
        <x:v>Rigid</x:v>
      </x:c>
      <x:c r="D7" s="11" t="str">
        <x:v>Some options</x:v>
      </x:c>
      <x:c r="E7" s="11" t="str">
        <x:v>Strong ramp / change</x:v>
      </x:c>
      <x:c r="F7" s="11" t="str">
        <x:v>Terms</x:v>
      </x:c>
      <x:c r="G7" s="11" t="str">
        <x:v>No</x:v>
      </x:c>
      <x:c r="H7" s="11" t="str">
        <x:v>TBD WITH CLIENT</x:v>
      </x:c>
    </x:row>
    <x:row r="8" ht="15" hidden="0" customHeight="1">
      <x:c r="A8" s="12" t="str">
        <x:v>Project maturity</x:v>
      </x:c>
      <x:c r="B8" s="15" t="n">
        <x:v>0.15</x:v>
      </x:c>
      <x:c r="C8" s="12" t="str">
        <x:v>Low evidence</x:v>
      </x:c>
      <x:c r="D8" s="12" t="str">
        <x:v>Milestones / gaps</x:v>
      </x:c>
      <x:c r="E8" s="12" t="str">
        <x:v>Advanced verified</x:v>
      </x:c>
      <x:c r="F8" s="12" t="str">
        <x:v>DD documents</x:v>
      </x:c>
      <x:c r="G8" s="12" t="str">
        <x:v>Yes</x:v>
      </x:c>
      <x:c r="H8" s="12" t="str">
        <x:v>TBD WITH CLIENT</x:v>
      </x:c>
    </x:row>
    <x:row r="9" ht="15" hidden="0" customHeight="1">
      <x:c r="A9" s="11" t="str">
        <x:v>Execution / wheeling</x:v>
      </x:c>
      <x:c r="B9" s="15" t="n">
        <x:v>0.1</x:v>
      </x:c>
      <x:c r="C9" s="11" t="str">
        <x:v>Unclear</x:v>
      </x:c>
      <x:c r="D9" s="11" t="str">
        <x:v>Plan with conditions</x:v>
      </x:c>
      <x:c r="E9" s="11" t="str">
        <x:v>Clear owners / readiness</x:v>
      </x:c>
      <x:c r="F9" s="11" t="str">
        <x:v>Execution plan</x:v>
      </x:c>
      <x:c r="G9" s="11" t="str">
        <x:v>Yes</x:v>
      </x:c>
      <x:c r="H9" s="11" t="str">
        <x:v>TBD WITH CLIENT</x:v>
      </x:c>
    </x:row>
    <x:row r="10" ht="15" hidden="0" customHeight="1">
      <x:c r="A10" s="12" t="str">
        <x:v>Certificate / claim</x:v>
      </x:c>
      <x:c r="B10" s="15" t="n">
        <x:v>0.1</x:v>
      </x:c>
      <x:c r="C10" s="12" t="str">
        <x:v>Not eligible / unclear</x:v>
      </x:c>
      <x:c r="D10" s="12" t="str">
        <x:v>Conditional</x:v>
      </x:c>
      <x:c r="E10" s="12" t="str">
        <x:v>Verified treatment</x:v>
      </x:c>
      <x:c r="F10" s="12" t="str">
        <x:v>T-REC evidence</x:v>
      </x:c>
      <x:c r="G10" s="12" t="str">
        <x:v>Yes</x:v>
      </x:c>
      <x:c r="H10" s="12" t="str">
        <x:v>TBD WITH CLIENT</x:v>
      </x:c>
    </x:row>
    <x:row r="11" ht="15" hidden="0" customHeight="1">
      <x:c r="A11" s="11" t="str">
        <x:v>Credit / counterparty</x:v>
      </x:c>
      <x:c r="B11" s="15" t="n">
        <x:v>0.1</x:v>
      </x:c>
      <x:c r="C11" s="11" t="str">
        <x:v>Weak / unknown</x:v>
      </x:c>
      <x:c r="D11" s="11" t="str">
        <x:v>Mitigable</x:v>
      </x:c>
      <x:c r="E11" s="11" t="str">
        <x:v>Strong verified support</x:v>
      </x:c>
      <x:c r="F11" s="11" t="str">
        <x:v>Financial / guarantee</x:v>
      </x:c>
      <x:c r="G11" s="11" t="str">
        <x:v>No</x:v>
      </x:c>
      <x:c r="H11" s="11" t="str">
        <x:v>TBD WITH CLIENT</x:v>
      </x:c>
    </x:row>
    <x:row r="12" ht="15" hidden="0" customHeight="1">
      <x:c r="A12" s="12" t="str">
        <x:v>Risk allocation</x:v>
      </x:c>
      <x:c r="B12" s="15" t="n">
        <x:v>0.1</x:v>
      </x:c>
      <x:c r="C12" s="12" t="str">
        <x:v>Buyer-heavy</x:v>
      </x:c>
      <x:c r="D12" s="12" t="str">
        <x:v>Mixed</x:v>
      </x:c>
      <x:c r="E12" s="12" t="str">
        <x:v>Balanced / clear</x:v>
      </x:c>
      <x:c r="F12" s="12" t="str">
        <x:v>Term response</x:v>
      </x:c>
      <x:c r="G12" s="12" t="str">
        <x:v>No</x:v>
      </x:c>
      <x:c r="H12" s="12" t="str">
        <x:v>TBD WITH CLIENT</x:v>
      </x:c>
    </x:row>
    <x:row r="13" ht="15" hidden="0" customHeight="1">
      <x:c r="A13" s="11" t="str">
        <x:v>Evidence confidence</x:v>
      </x:c>
      <x:c r="B13" s="15" t="n">
        <x:v>0.05</x:v>
      </x:c>
      <x:c r="C13" s="11" t="str">
        <x:v>Claims only</x:v>
      </x:c>
      <x:c r="D13" s="11" t="str">
        <x:v>Partial</x:v>
      </x:c>
      <x:c r="E13" s="11" t="str">
        <x:v>Verified / current</x:v>
      </x:c>
      <x:c r="F13" s="11" t="str">
        <x:v>Evidence index</x:v>
      </x:c>
      <x:c r="G13" s="11" t="str">
        <x:v>No</x:v>
      </x:c>
      <x:c r="H13" s="11" t="str">
        <x:v>TBD WITH CLIENT</x:v>
      </x:c>
    </x:row>
  </x:sheetData>
  <x:pageMargins left="0.7" right="0.7" top="0.75" bottom="0.75" header="0.3" footer="0.3"/>
  <x:tableParts count="1">
    <x:tablePart xmlns:r="http://schemas.openxmlformats.org/officeDocument/2006/relationships" r:id="Rd2689c0b67a9498a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18" hidden="0" customWidth="1"/>
    <x:col min="3" max="3" width="20" hidden="0" customWidth="1"/>
    <x:col min="4" max="4" width="20" hidden="0" customWidth="1"/>
    <x:col min="5" max="5" width="16" hidden="0" customWidth="1"/>
    <x:col min="6" max="6" width="20" hidden="0" customWidth="1"/>
    <x:col min="7" max="7" width="16" hidden="0" customWidth="1"/>
    <x:col min="8" max="8" width="18" hidden="0" customWidth="1"/>
    <x:col min="9" max="9" width="14" hidden="0" customWidth="1"/>
    <x:col min="10" max="10" width="20" hidden="0" customWidth="1"/>
    <x:col min="11" max="11" width="22" hidden="0" customWidth="1"/>
    <x:col min="12" max="12" width="18" hidden="0" customWidth="1"/>
    <x:col min="13" max="13" width="42" hidden="0" customWidth="1"/>
    <x:col min="14" max="14" width="34" hidden="0" customWidth="1"/>
  </x:cols>
  <x:sheetData>
    <x:row r="2" ht="15" hidden="0" customHeight="1">
      <x:c r="A2" s="21" t="str">
        <x:v>Independent evaluator scores — synthetic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</x:row>
    <x:row r="3" ht="15" hidden="0" customHeight="1">
      <x:c r="A3" s="23"/>
      <x:c r="B3" s="23"/>
      <x:c r="C3" s="23"/>
      <x:c r="D3" s="23"/>
      <x:c r="E3" s="23"/>
      <x:c r="F3" s="23"/>
      <x:c r="G3" s="23"/>
      <x:c r="H3" s="23"/>
      <x:c r="I3" s="23"/>
      <x:c r="J3" s="23"/>
      <x:c r="K3" s="23"/>
      <x:c r="L3" s="23"/>
      <x:c r="M3" s="23"/>
      <x:c r="N3" s="23"/>
    </x:row>
    <x:row r="4" ht="15" hidden="0" customHeight="1">
      <x:c r="A4" s="24" t="str">
        <x:v>Evaluator</x:v>
      </x:c>
      <x:c r="B4" s="24" t="str">
        <x:v>Offer ID</x:v>
      </x:c>
      <x:c r="C4" s="24" t="str">
        <x:v>Volume / timing</x:v>
      </x:c>
      <x:c r="D4" s="24" t="str">
        <x:v>Commercial value</x:v>
      </x:c>
      <x:c r="E4" s="24" t="str">
        <x:v>Flexibility</x:v>
      </x:c>
      <x:c r="F4" s="24" t="str">
        <x:v>Project maturity</x:v>
      </x:c>
      <x:c r="G4" s="24" t="str">
        <x:v>Execution</x:v>
      </x:c>
      <x:c r="H4" s="24" t="str">
        <x:v>Certificate</x:v>
      </x:c>
      <x:c r="I4" s="24" t="str">
        <x:v>Credit</x:v>
      </x:c>
      <x:c r="J4" s="24" t="str">
        <x:v>Risk allocation</x:v>
      </x:c>
      <x:c r="K4" s="24" t="str">
        <x:v>Evidence confidence</x:v>
      </x:c>
      <x:c r="L4" s="24" t="str">
        <x:v>Weighted score</x:v>
      </x:c>
      <x:c r="M4" s="24" t="str">
        <x:v>Evidence comment</x:v>
      </x:c>
      <x:c r="N4" s="24" t="str">
        <x:v>Conflict / dissent</x:v>
      </x:c>
    </x:row>
    <x:row r="5" ht="15" hidden="0" customHeight="1">
      <x:c r="A5" s="11" t="str">
        <x:v>Evaluator 1 demo</x:v>
      </x:c>
      <x:c r="B5" s="11" t="str">
        <x:v>OFF-DEMO-A</x:v>
      </x:c>
      <x:c r="C5" s="16" t="n">
        <x:v>4</x:v>
      </x:c>
      <x:c r="D5" s="16" t="n">
        <x:v>3</x:v>
      </x:c>
      <x:c r="E5" s="16" t="n">
        <x:v>4</x:v>
      </x:c>
      <x:c r="F5" s="16" t="n">
        <x:v>3</x:v>
      </x:c>
      <x:c r="G5" s="16" t="n">
        <x:v>3</x:v>
      </x:c>
      <x:c r="H5" s="16" t="n">
        <x:v>3</x:v>
      </x:c>
      <x:c r="I5" s="16" t="n">
        <x:v>3</x:v>
      </x:c>
      <x:c r="J5" s="16" t="n">
        <x:v>3</x:v>
      </x:c>
      <x:c r="K5" s="16" t="n">
        <x:v>2</x:v>
      </x:c>
      <x:c r="L5" s="17" t="n">
        <x:f>C5*Criteria!$B$5+D5*Criteria!$B$6+E5*Criteria!$B$7+F5*Criteria!$B$8+G5*Criteria!$B$9+H5*Criteria!$B$10+I5*Criteria!$B$11+J5*Criteria!$B$12+K5*Criteria!$B$13</x:f>
        <x:v>3.1999999999999997</x:v>
      </x:c>
      <x:c r="M5" s="11" t="str">
        <x:v>Demo evidence only</x:v>
      </x:c>
      <x:c r="N5" s="11" t="str">
        <x:v>None / demo</x:v>
      </x:c>
    </x:row>
    <x:row r="6" ht="15" hidden="0" customHeight="1">
      <x:c r="A6" s="12" t="str">
        <x:v>Evaluator 1 demo</x:v>
      </x:c>
      <x:c r="B6" s="12" t="str">
        <x:v>OFF-DEMO-B</x:v>
      </x:c>
      <x:c r="C6" s="16" t="n">
        <x:v>3</x:v>
      </x:c>
      <x:c r="D6" s="16" t="n">
        <x:v>4</x:v>
      </x:c>
      <x:c r="E6" s="16" t="n">
        <x:v>2</x:v>
      </x:c>
      <x:c r="F6" s="16" t="n">
        <x:v>2</x:v>
      </x:c>
      <x:c r="G6" s="16" t="n">
        <x:v>2</x:v>
      </x:c>
      <x:c r="H6" s="16" t="n">
        <x:v>3</x:v>
      </x:c>
      <x:c r="I6" s="16" t="n">
        <x:v>2</x:v>
      </x:c>
      <x:c r="J6" s="16" t="n">
        <x:v>3</x:v>
      </x:c>
      <x:c r="K6" s="16" t="n">
        <x:v>2</x:v>
      </x:c>
      <x:c r="L6" s="18" t="n">
        <x:f>C6*Criteria!$B$5+D6*Criteria!$B$6+E6*Criteria!$B$7+F6*Criteria!$B$8+G6*Criteria!$B$9+H6*Criteria!$B$10+I6*Criteria!$B$11+J6*Criteria!$B$12+K6*Criteria!$B$13</x:f>
        <x:v>2.65</x:v>
      </x:c>
      <x:c r="M6" s="12" t="str">
        <x:v>Demo evidence only</x:v>
      </x:c>
      <x:c r="N6" s="12" t="str">
        <x:v>None / demo</x:v>
      </x:c>
    </x:row>
    <x:row r="7" ht="15" hidden="0" customHeight="1">
      <x:c r="A7" s="11" t="str">
        <x:v>Evaluator 1 demo</x:v>
      </x:c>
      <x:c r="B7" s="11" t="str">
        <x:v>OFF-DEMO-C</x:v>
      </x:c>
      <x:c r="C7" s="16" t="n">
        <x:v>4</x:v>
      </x:c>
      <x:c r="D7" s="16" t="n">
        <x:v>3</x:v>
      </x:c>
      <x:c r="E7" s="16" t="n">
        <x:v>4</x:v>
      </x:c>
      <x:c r="F7" s="16" t="n">
        <x:v>3</x:v>
      </x:c>
      <x:c r="G7" s="16" t="n">
        <x:v>3</x:v>
      </x:c>
      <x:c r="H7" s="16" t="n">
        <x:v>3</x:v>
      </x:c>
      <x:c r="I7" s="16" t="n">
        <x:v>3</x:v>
      </x:c>
      <x:c r="J7" s="16" t="n">
        <x:v>3</x:v>
      </x:c>
      <x:c r="K7" s="16" t="n">
        <x:v>1</x:v>
      </x:c>
      <x:c r="L7" s="17" t="n">
        <x:f>C7*Criteria!$B$5+D7*Criteria!$B$6+E7*Criteria!$B$7+F7*Criteria!$B$8+G7*Criteria!$B$9+H7*Criteria!$B$10+I7*Criteria!$B$11+J7*Criteria!$B$12+K7*Criteria!$B$13</x:f>
        <x:v>3.1499999999999995</x:v>
      </x:c>
      <x:c r="M7" s="11" t="str">
        <x:v>Demo evidence only</x:v>
      </x:c>
      <x:c r="N7" s="11" t="str">
        <x:v>None / demo</x:v>
      </x:c>
    </x:row>
  </x:sheetData>
  <x:pageMargins left="0.7" right="0.7" top="0.75" bottom="0.75" header="0.3" footer="0.3"/>
  <x:tableParts count="1">
    <x:tablePart xmlns:r="http://schemas.openxmlformats.org/officeDocument/2006/relationships" r:id="R78378c8396c44fbf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24" hidden="0" customWidth="1"/>
    <x:col min="4" max="4" width="54" hidden="0" customWidth="1"/>
    <x:col min="5" max="5" width="18" hidden="0" customWidth="1"/>
    <x:col min="6" max="6" width="28" hidden="0" customWidth="1"/>
    <x:col min="7" max="7" width="26" hidden="0" customWidth="1"/>
    <x:col min="8" max="8" width="18" hidden="0" customWidth="1"/>
    <x:col min="9" max="9" width="40" hidden="0" customWidth="1"/>
    <x:col min="10" max="10" width="38" hidden="0" customWidth="1"/>
  </x:cols>
  <x:sheetData>
    <x:row r="2" ht="15" hidden="0" customHeight="1">
      <x:c r="A2" s="21" t="str">
        <x:v>Due diligence checklist and evidence status</x:v>
      </x:c>
      <x:c r="B2" s="22"/>
      <x:c r="C2" s="22"/>
      <x:c r="D2" s="22"/>
      <x:c r="E2" s="22"/>
      <x:c r="F2" s="22"/>
      <x:c r="G2" s="22"/>
      <x:c r="H2" s="22"/>
      <x:c r="I2" s="22"/>
      <x:c r="J2" s="22"/>
    </x:row>
    <x:row r="3" ht="15" hidden="0" customHeight="1">
      <x:c r="A3" s="23"/>
      <x:c r="B3" s="23"/>
      <x:c r="C3" s="23"/>
      <x:c r="D3" s="23"/>
      <x:c r="E3" s="23"/>
      <x:c r="F3" s="23"/>
      <x:c r="G3" s="23"/>
      <x:c r="H3" s="23"/>
      <x:c r="I3" s="23"/>
      <x:c r="J3" s="23"/>
    </x:row>
    <x:row r="4" ht="15" hidden="0" customHeight="1">
      <x:c r="A4" s="24" t="str">
        <x:v>DD ID</x:v>
      </x:c>
      <x:c r="B4" s="24" t="str">
        <x:v>Offer ID</x:v>
      </x:c>
      <x:c r="C4" s="24" t="str">
        <x:v>Area</x:v>
      </x:c>
      <x:c r="D4" s="24" t="str">
        <x:v>Question / evidence</x:v>
      </x:c>
      <x:c r="E4" s="24" t="str">
        <x:v>Materiality</x:v>
      </x:c>
      <x:c r="F4" s="24" t="str">
        <x:v>Source / evidence ID</x:v>
      </x:c>
      <x:c r="G4" s="24" t="str">
        <x:v>Owner</x:v>
      </x:c>
      <x:c r="H4" s="24" t="str">
        <x:v>Status</x:v>
      </x:c>
      <x:c r="I4" s="24" t="str">
        <x:v>Condition / impact</x:v>
      </x:c>
      <x:c r="J4" s="24" t="str">
        <x:v>Specialist boundary</x:v>
      </x:c>
    </x:row>
    <x:row r="5" ht="15" hidden="0" customHeight="1">
      <x:c r="A5" s="11" t="str">
        <x:v>DD-DEMO-01</x:v>
      </x:c>
      <x:c r="B5" s="11" t="str">
        <x:v>OFF-DEMO-A</x:v>
      </x:c>
      <x:c r="C5" s="11" t="str">
        <x:v>Project maturity</x:v>
      </x:c>
      <x:c r="D5" s="11" t="str">
        <x:v>Verify control, milestones and COD basis</x:v>
      </x:c>
      <x:c r="E5" s="11" t="str">
        <x:v>High</x:v>
      </x:c>
      <x:c r="F5" s="11" t="str">
        <x:v>Not provided</x:v>
      </x:c>
      <x:c r="G5" s="11" t="str">
        <x:v>DD Lead</x:v>
      </x:c>
      <x:c r="H5" s="11" t="str">
        <x:v>Open</x:v>
      </x:c>
      <x:c r="I5" s="11" t="str">
        <x:v>Condition shortlist</x:v>
      </x:c>
      <x:c r="J5" s="11" t="str">
        <x:v>Technical / legal review as needed</x:v>
      </x:c>
    </x:row>
    <x:row r="6" ht="15" hidden="0" customHeight="1">
      <x:c r="A6" s="12" t="str">
        <x:v>DD-DEMO-02</x:v>
      </x:c>
      <x:c r="B6" s="12" t="str">
        <x:v>OFF-DEMO-B</x:v>
      </x:c>
      <x:c r="C6" s="12" t="str">
        <x:v>Credit</x:v>
      </x:c>
      <x:c r="D6" s="12" t="str">
        <x:v>Verify guarantor and security proposal</x:v>
      </x:c>
      <x:c r="E6" s="12" t="str">
        <x:v>High</x:v>
      </x:c>
      <x:c r="F6" s="12" t="str">
        <x:v>Not provided</x:v>
      </x:c>
      <x:c r="G6" s="12" t="str">
        <x:v>Finance</x:v>
      </x:c>
      <x:c r="H6" s="12" t="str">
        <x:v>Open</x:v>
      </x:c>
      <x:c r="I6" s="12" t="str">
        <x:v>Condition negotiation</x:v>
      </x:c>
      <x:c r="J6" s="12" t="str">
        <x:v>Finance / legal advice</x:v>
      </x:c>
    </x:row>
    <x:row r="7" ht="15" hidden="0" customHeight="1">
      <x:c r="A7" s="11" t="str">
        <x:v>DD-DEMO-03</x:v>
      </x:c>
      <x:c r="B7" s="11" t="str">
        <x:v>OFF-DEMO-C</x:v>
      </x:c>
      <x:c r="C7" s="11" t="str">
        <x:v>Allocation</x:v>
      </x:c>
      <x:c r="D7" s="11" t="str">
        <x:v>Verify underlying assets and no double allocation</x:v>
      </x:c>
      <x:c r="E7" s="11" t="str">
        <x:v>High</x:v>
      </x:c>
      <x:c r="F7" s="11" t="str">
        <x:v>Not provided</x:v>
      </x:c>
      <x:c r="G7" s="11" t="str">
        <x:v>DD Lead</x:v>
      </x:c>
      <x:c r="H7" s="11" t="str">
        <x:v>Open</x:v>
      </x:c>
      <x:c r="I7" s="11" t="str">
        <x:v>Condition shortlist</x:v>
      </x:c>
      <x:c r="J7" s="11" t="str">
        <x:v>Commercial + technical</x:v>
      </x:c>
    </x:row>
    <x:row r="8" ht="15" hidden="0" customHeight="1">
      <x:c r="A8" s="12" t="str">
        <x:v>DD-CTRL-01</x:v>
      </x:c>
      <x:c r="B8" s="12" t="str">
        <x:v>ALL</x:v>
      </x:c>
      <x:c r="C8" s="12" t="str">
        <x:v>Certificate</x:v>
      </x:c>
      <x:c r="D8" s="12" t="str">
        <x:v>Verify issuance, transfer, ownership and replacement</x:v>
      </x:c>
      <x:c r="E8" s="12" t="str">
        <x:v>High</x:v>
      </x:c>
      <x:c r="F8" s="12" t="str">
        <x:v>Not provided</x:v>
      </x:c>
      <x:c r="G8" s="12" t="str">
        <x:v>Sustainability / Legal</x:v>
      </x:c>
      <x:c r="H8" s="12" t="str">
        <x:v>Open</x:v>
      </x:c>
      <x:c r="I8" s="12" t="str">
        <x:v>Hard screen / condition</x:v>
      </x:c>
      <x:c r="J8" s="12" t="str">
        <x:v>Legal / policy confirmation</x:v>
      </x:c>
    </x:row>
  </x:sheetData>
  <x:pageMargins left="0.7" right="0.7" top="0.75" bottom="0.75" header="0.3" footer="0.3"/>
  <x:tableParts count="1">
    <x:tablePart xmlns:r="http://schemas.openxmlformats.org/officeDocument/2006/relationships" r:id="R604472c6e9864939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40" hidden="0" customWidth="1"/>
    <x:col min="4" max="4" width="20" hidden="0" customWidth="1"/>
    <x:col min="5" max="5" width="18" hidden="0" customWidth="1"/>
    <x:col min="6" max="6" width="18" hidden="0" customWidth="1"/>
    <x:col min="7" max="7" width="28" hidden="0" customWidth="1"/>
    <x:col min="8" max="8" width="48" hidden="0" customWidth="1"/>
    <x:col min="9" max="9" width="34" hidden="0" customWidth="1"/>
    <x:col min="10" max="10" width="18" hidden="0" customWidth="1"/>
  </x:cols>
  <x:sheetData>
    <x:row r="2" ht="15" hidden="0" customHeight="1">
      <x:c r="A2" s="21" t="str">
        <x:v>Supplier / project risk assessment — synthetic</x:v>
      </x:c>
      <x:c r="B2" s="22"/>
      <x:c r="C2" s="22"/>
      <x:c r="D2" s="22"/>
      <x:c r="E2" s="22"/>
      <x:c r="F2" s="22"/>
      <x:c r="G2" s="22"/>
      <x:c r="H2" s="22"/>
      <x:c r="I2" s="22"/>
      <x:c r="J2" s="22"/>
    </x:row>
    <x:row r="3" ht="15" hidden="0" customHeight="1">
      <x:c r="A3" s="23"/>
      <x:c r="B3" s="23"/>
      <x:c r="C3" s="23"/>
      <x:c r="D3" s="23"/>
      <x:c r="E3" s="23"/>
      <x:c r="F3" s="23"/>
      <x:c r="G3" s="23"/>
      <x:c r="H3" s="23"/>
      <x:c r="I3" s="23"/>
      <x:c r="J3" s="23"/>
    </x:row>
    <x:row r="4" ht="15" hidden="0" customHeight="1">
      <x:c r="A4" s="24" t="str">
        <x:v>Risk ID</x:v>
      </x:c>
      <x:c r="B4" s="24" t="str">
        <x:v>Offer ID</x:v>
      </x:c>
      <x:c r="C4" s="24" t="str">
        <x:v>Event</x:v>
      </x:c>
      <x:c r="D4" s="24" t="str">
        <x:v>Likelihood 1–5</x:v>
      </x:c>
      <x:c r="E4" s="24" t="str">
        <x:v>Impact 1–5</x:v>
      </x:c>
      <x:c r="F4" s="24" t="str">
        <x:v>Risk score</x:v>
      </x:c>
      <x:c r="G4" s="24" t="str">
        <x:v>Evidence</x:v>
      </x:c>
      <x:c r="H4" s="24" t="str">
        <x:v>Mitigation / condition</x:v>
      </x:c>
      <x:c r="I4" s="24" t="str">
        <x:v>Risk acceptor</x:v>
      </x:c>
      <x:c r="J4" s="24" t="str">
        <x:v>Status</x:v>
      </x:c>
    </x:row>
    <x:row r="5" ht="15" hidden="0" customHeight="1">
      <x:c r="A5" s="11" t="str">
        <x:v>ER-DEMO-01</x:v>
      </x:c>
      <x:c r="B5" s="11" t="str">
        <x:v>OFF-DEMO-A</x:v>
      </x:c>
      <x:c r="C5" s="11" t="str">
        <x:v>COD evidence insufficient</x:v>
      </x:c>
      <x:c r="D5" s="16" t="n">
        <x:v>3</x:v>
      </x:c>
      <x:c r="E5" s="16" t="n">
        <x:v>5</x:v>
      </x:c>
      <x:c r="F5" s="11" t="n">
        <x:f>D5*E5</x:f>
        <x:v>15</x:v>
      </x:c>
      <x:c r="G5" s="11" t="str">
        <x:v>Demo only</x:v>
      </x:c>
      <x:c r="H5" s="11" t="str">
        <x:v>Obtain milestones + longstop / remedy</x:v>
      </x:c>
      <x:c r="I5" s="11" t="str">
        <x:v>Client approver — TBD</x:v>
      </x:c>
      <x:c r="J5" s="11" t="str">
        <x:v>Open</x:v>
      </x:c>
    </x:row>
    <x:row r="6" ht="15" hidden="0" customHeight="1">
      <x:c r="A6" s="12" t="str">
        <x:v>ER-DEMO-02</x:v>
      </x:c>
      <x:c r="B6" s="12" t="str">
        <x:v>OFF-DEMO-B</x:v>
      </x:c>
      <x:c r="C6" s="12" t="str">
        <x:v>Credit support unresolved</x:v>
      </x:c>
      <x:c r="D6" s="16" t="n">
        <x:v>3</x:v>
      </x:c>
      <x:c r="E6" s="16" t="n">
        <x:v>4</x:v>
      </x:c>
      <x:c r="F6" s="12" t="n">
        <x:f>D6*E6</x:f>
        <x:v>12</x:v>
      </x:c>
      <x:c r="G6" s="12" t="str">
        <x:v>Demo only</x:v>
      </x:c>
      <x:c r="H6" s="12" t="str">
        <x:v>Guarantee / security condition</x:v>
      </x:c>
      <x:c r="I6" s="12" t="str">
        <x:v>Finance approver — TBD</x:v>
      </x:c>
      <x:c r="J6" s="12" t="str">
        <x:v>Open</x:v>
      </x:c>
    </x:row>
    <x:row r="7" ht="15" hidden="0" customHeight="1">
      <x:c r="A7" s="11" t="str">
        <x:v>ER-DEMO-03</x:v>
      </x:c>
      <x:c r="B7" s="11" t="str">
        <x:v>OFF-DEMO-C</x:v>
      </x:c>
      <x:c r="C7" s="11" t="str">
        <x:v>Asset allocation opaque</x:v>
      </x:c>
      <x:c r="D7" s="16" t="n">
        <x:v>4</x:v>
      </x:c>
      <x:c r="E7" s="16" t="n">
        <x:v>4</x:v>
      </x:c>
      <x:c r="F7" s="11" t="n">
        <x:f>D7*E7</x:f>
        <x:v>16</x:v>
      </x:c>
      <x:c r="G7" s="11" t="str">
        <x:v>Demo only</x:v>
      </x:c>
      <x:c r="H7" s="11" t="str">
        <x:v>Asset schedule + no double allocation warranty</x:v>
      </x:c>
      <x:c r="I7" s="11" t="str">
        <x:v>Client approver — TBD</x:v>
      </x:c>
      <x:c r="J7" s="11" t="str">
        <x:v>Open</x:v>
      </x:c>
    </x:row>
  </x:sheetData>
  <x:pageMargins left="0.7" right="0.7" top="0.75" bottom="0.75" header="0.3" footer="0.3"/>
  <x:tableParts count="1">
    <x:tablePart xmlns:r="http://schemas.openxmlformats.org/officeDocument/2006/relationships" r:id="R11427f7791c5479d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6" hidden="0" customWidth="1"/>
    <x:col min="5" max="5" width="20" hidden="0" customWidth="1"/>
    <x:col min="6" max="6" width="36" hidden="0" customWidth="1"/>
    <x:col min="7" max="7" width="36" hidden="0" customWidth="1"/>
    <x:col min="8" max="8" width="44" hidden="0" customWidth="1"/>
    <x:col min="9" max="9" width="24" hidden="0" customWidth="1"/>
    <x:col min="10" max="10" width="26" hidden="0" customWidth="1"/>
    <x:col min="11" max="11" width="30" hidden="0" customWidth="1"/>
    <x:col min="12" max="12" width="26" hidden="0" customWidth="1"/>
  </x:cols>
  <x:sheetData>
    <x:row r="2" ht="15" hidden="0" customHeight="1">
      <x:c r="A2" s="21" t="str">
        <x:v>G7 shortlist summary — synthetic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</x:row>
    <x:row r="3" ht="15" hidden="0" customHeight="1">
      <x:c r="A3" s="23"/>
      <x:c r="B3" s="23"/>
      <x:c r="C3" s="23"/>
      <x:c r="D3" s="23"/>
      <x:c r="E3" s="23"/>
      <x:c r="F3" s="23"/>
      <x:c r="G3" s="23"/>
      <x:c r="H3" s="23"/>
      <x:c r="I3" s="23"/>
      <x:c r="J3" s="23"/>
      <x:c r="K3" s="23"/>
      <x:c r="L3" s="23"/>
    </x:row>
    <x:row r="4" ht="15" hidden="0" customHeight="1">
      <x:c r="A4" s="24" t="str">
        <x:v>Offer ID</x:v>
      </x:c>
      <x:c r="B4" s="24" t="str">
        <x:v>Hard screen</x:v>
      </x:c>
      <x:c r="C4" s="24" t="str">
        <x:v>Weighted score</x:v>
      </x:c>
      <x:c r="D4" s="24" t="str">
        <x:v>Open DD</x:v>
      </x:c>
      <x:c r="E4" s="24" t="str">
        <x:v>High risk count</x:v>
      </x:c>
      <x:c r="F4" s="24" t="str">
        <x:v>Top strength</x:v>
      </x:c>
      <x:c r="G4" s="24" t="str">
        <x:v>Top risk</x:v>
      </x:c>
      <x:c r="H4" s="24" t="str">
        <x:v>Condition</x:v>
      </x:c>
      <x:c r="I4" s="24" t="str">
        <x:v>Model signal</x:v>
      </x:c>
      <x:c r="J4" s="24" t="str">
        <x:v>Authorized decision</x:v>
      </x:c>
      <x:c r="K4" s="24" t="str">
        <x:v>Decision owner</x:v>
      </x:c>
      <x:c r="L4" s="24" t="str">
        <x:v>Truth status</x:v>
      </x:c>
    </x:row>
    <x:row r="5" ht="15" hidden="0" customHeight="1">
      <x:c r="A5" s="11" t="str">
        <x:v>OFF-DEMO-A</x:v>
      </x:c>
      <x:c r="B5" s="11" t="str">
        <x:f>'Offer Intake'!D5</x:f>
        <x:v>PASS</x:v>
      </x:c>
      <x:c r="C5" s="17" t="n">
        <x:f>'Evaluator Scores'!L5</x:f>
        <x:v>3.1999999999999997</x:v>
      </x:c>
      <x:c r="D5" s="11" t="n">
        <x:f>COUNTIF('DD Checklist'!B$5:B$8,A5)</x:f>
        <x:v>1</x:v>
      </x:c>
      <x:c r="E5" s="11" t="n">
        <x:f>COUNTIFS('Risk Assessment'!B$5:B$7,A5,'Risk Assessment'!F$5:F$7,"&gt;=15")</x:f>
        <x:v>1</x:v>
      </x:c>
      <x:c r="F5" s="11" t="str">
        <x:v>Timing / flexibility demo</x:v>
      </x:c>
      <x:c r="G5" s="11" t="str">
        <x:v>COD evidence</x:v>
      </x:c>
      <x:c r="H5" s="11" t="str">
        <x:v>Verify milestones / remedy</x:v>
      </x:c>
      <x:c r="I5" s="11" t="str">
        <x:f>IF(B5="FAIL","DO NOT PROCEED",IF(C5&gt;=3.5,"SHORTLIST WITH CONDITIONS","RESERVE / CLARIFY"))</x:f>
        <x:v>RESERVE / CLARIFY</x:v>
      </x:c>
      <x:c r="J5" s="11" t="str">
        <x:v>TBD WITH CLIENT</x:v>
      </x:c>
      <x:c r="K5" s="11" t="str">
        <x:v>Decision body — TBD</x:v>
      </x:c>
      <x:c r="L5" s="11" t="str">
        <x:v>SYNTHETIC / DEMO DATA</x:v>
      </x:c>
    </x:row>
    <x:row r="6" ht="15" hidden="0" customHeight="1">
      <x:c r="A6" s="12" t="str">
        <x:v>OFF-DEMO-B</x:v>
      </x:c>
      <x:c r="B6" s="12" t="str">
        <x:f>'Offer Intake'!D6</x:f>
        <x:v>CONDITIONAL</x:v>
      </x:c>
      <x:c r="C6" s="18" t="n">
        <x:f>'Evaluator Scores'!L6</x:f>
        <x:v>2.65</x:v>
      </x:c>
      <x:c r="D6" s="12" t="n">
        <x:f>COUNTIF('DD Checklist'!B$5:B$8,A6)</x:f>
        <x:v>1</x:v>
      </x:c>
      <x:c r="E6" s="12" t="n">
        <x:f>COUNTIFS('Risk Assessment'!B$5:B$7,A6,'Risk Assessment'!F$5:F$7,"&gt;=15")</x:f>
        <x:v>0</x:v>
      </x:c>
      <x:c r="F6" s="12" t="str">
        <x:v>Nominal cost / volume demo</x:v>
      </x:c>
      <x:c r="G6" s="12" t="str">
        <x:v>Credit + maturity</x:v>
      </x:c>
      <x:c r="H6" s="12" t="str">
        <x:v>Guarantee + COD DD</x:v>
      </x:c>
      <x:c r="I6" s="12" t="str">
        <x:f>IF(B6="FAIL","DO NOT PROCEED",IF(C6&gt;=3.5,"SHORTLIST WITH CONDITIONS","RESERVE / CLARIFY"))</x:f>
        <x:v>RESERVE / CLARIFY</x:v>
      </x:c>
      <x:c r="J6" s="12" t="str">
        <x:v>TBD WITH CLIENT</x:v>
      </x:c>
      <x:c r="K6" s="12" t="str">
        <x:v>Decision body — TBD</x:v>
      </x:c>
      <x:c r="L6" s="12" t="str">
        <x:v>SYNTHETIC / DEMO DATA</x:v>
      </x:c>
    </x:row>
    <x:row r="7" ht="15" hidden="0" customHeight="1">
      <x:c r="A7" s="11" t="str">
        <x:v>OFF-DEMO-C</x:v>
      </x:c>
      <x:c r="B7" s="11" t="str">
        <x:f>'Offer Intake'!D7</x:f>
        <x:v>PASS</x:v>
      </x:c>
      <x:c r="C7" s="17" t="n">
        <x:f>'Evaluator Scores'!L7</x:f>
        <x:v>3.1499999999999995</x:v>
      </x:c>
      <x:c r="D7" s="11" t="n">
        <x:f>COUNTIF('DD Checklist'!B$5:B$8,A7)</x:f>
        <x:v>1</x:v>
      </x:c>
      <x:c r="E7" s="11" t="n">
        <x:f>COUNTIFS('Risk Assessment'!B$5:B$7,A7,'Risk Assessment'!F$5:F$7,"&gt;=15")</x:f>
        <x:v>1</x:v>
      </x:c>
      <x:c r="F7" s="11" t="str">
        <x:v>Portfolio flexibility demo</x:v>
      </x:c>
      <x:c r="G7" s="11" t="str">
        <x:v>Asset allocation</x:v>
      </x:c>
      <x:c r="H7" s="11" t="str">
        <x:v>Verified asset schedule</x:v>
      </x:c>
      <x:c r="I7" s="11" t="str">
        <x:f>IF(B7="FAIL","DO NOT PROCEED",IF(C7&gt;=3.5,"SHORTLIST WITH CONDITIONS","RESERVE / CLARIFY"))</x:f>
        <x:v>RESERVE / CLARIFY</x:v>
      </x:c>
      <x:c r="J7" s="11" t="str">
        <x:v>TBD WITH CLIENT</x:v>
      </x:c>
      <x:c r="K7" s="11" t="str">
        <x:v>Decision body — TBD</x:v>
      </x:c>
      <x:c r="L7" s="11" t="str">
        <x:v>SYNTHETIC / DEMO DATA</x:v>
      </x:c>
    </x:row>
  </x:sheetData>
  <x:pageMargins left="0.7" right="0.7" top="0.75" bottom="0.75" header="0.3" footer="0.3"/>
  <x:tableParts count="1">
    <x:tablePart xmlns:r="http://schemas.openxmlformats.org/officeDocument/2006/relationships" r:id="Ree865cfb30c04261"/>
  </x:tableParts>
</x:worksheet>
</file>